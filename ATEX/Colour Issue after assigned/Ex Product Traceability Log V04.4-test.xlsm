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joseph\Documents\GitHub\Test\ATEX\Colour Issue after assigned\"/>
    </mc:Choice>
  </mc:AlternateContent>
  <bookViews>
    <workbookView xWindow="1560" yWindow="1560" windowWidth="28800" windowHeight="15470" firstSheet="1" activeTab="4"/>
  </bookViews>
  <sheets>
    <sheet name="BV Serial Number Register" sheetId="1" state="veryHidden" r:id="rId1"/>
    <sheet name="VAP100AE" sheetId="10" r:id="rId2"/>
    <sheet name="VB3" sheetId="8" state="hidden" r:id="rId3"/>
    <sheet name="VAP01" sheetId="11" r:id="rId4"/>
    <sheet name="Automation" sheetId="9" r:id="rId5"/>
  </sheets>
  <functionGroups builtInGroupCount="18"/>
  <definedNames>
    <definedName name="_xlnm._FilterDatabase" localSheetId="0" hidden="1">'BV Serial Number Register'!$A$4:$P$1160</definedName>
    <definedName name="ExComponentsPath">Automation!$E$3</definedName>
    <definedName name="ExPath">Automation!$E$5</definedName>
    <definedName name="ExProductsPath">Automation!$E$4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C7" i="10" l="1"/>
  <c r="AH7" i="10" s="1"/>
  <c r="AD7" i="10"/>
  <c r="AE7" i="10"/>
  <c r="AF7" i="10"/>
  <c r="AG7" i="10"/>
  <c r="AB6" i="11" l="1"/>
  <c r="AF6" i="11" s="1"/>
  <c r="AC6" i="11"/>
  <c r="AD6" i="11"/>
  <c r="AE6" i="11"/>
  <c r="AG6" i="11"/>
  <c r="AH6" i="11"/>
  <c r="AC6" i="10" l="1"/>
  <c r="AH6" i="10" s="1"/>
  <c r="AD6" i="10"/>
  <c r="AE6" i="10"/>
  <c r="AF6" i="10"/>
  <c r="AG6" i="10"/>
  <c r="AC5" i="10"/>
  <c r="AH5" i="10" s="1"/>
  <c r="AD5" i="10"/>
  <c r="AE5" i="10"/>
  <c r="AF5" i="10"/>
  <c r="AG5" i="10"/>
  <c r="O7" i="10" l="1"/>
  <c r="T7" i="10" s="1"/>
  <c r="S7" i="10"/>
  <c r="O6" i="10"/>
  <c r="T6" i="10" s="1"/>
  <c r="S6" i="10"/>
  <c r="O5" i="10"/>
  <c r="T5" i="10" s="1"/>
  <c r="S5" i="10"/>
  <c r="AB5" i="11" l="1"/>
  <c r="AG5" i="11" s="1"/>
  <c r="AC5" i="11"/>
  <c r="AD5" i="11"/>
  <c r="AE5" i="11"/>
  <c r="AF5" i="11"/>
  <c r="AH5" i="11"/>
  <c r="D6" i="11" l="1"/>
  <c r="H6" i="11" s="1"/>
  <c r="D5" i="11" l="1"/>
  <c r="H5" i="11" s="1"/>
  <c r="E10" i="10"/>
  <c r="J10" i="10" s="1"/>
  <c r="I10" i="10"/>
  <c r="E9" i="10"/>
  <c r="J9" i="10" s="1"/>
  <c r="I9" i="10"/>
  <c r="E8" i="10"/>
  <c r="J8" i="10" s="1"/>
  <c r="I8" i="10"/>
  <c r="E7" i="10"/>
  <c r="J7" i="10" s="1"/>
  <c r="I7" i="10"/>
  <c r="E6" i="10"/>
  <c r="J6" i="10" s="1"/>
  <c r="I6" i="10"/>
  <c r="E5" i="10"/>
  <c r="J5" i="10" s="1"/>
  <c r="I5" i="10"/>
  <c r="T4" i="10" l="1"/>
  <c r="S4" i="10"/>
  <c r="AH4" i="11" l="1"/>
  <c r="AG4" i="11"/>
  <c r="AF4" i="11"/>
  <c r="AE4" i="11"/>
  <c r="AD4" i="11"/>
  <c r="AC4" i="11"/>
  <c r="AB4" i="11"/>
  <c r="D4" i="11" l="1"/>
  <c r="H4" i="11" s="1"/>
  <c r="H160" i="8"/>
  <c r="H159" i="8"/>
  <c r="H158" i="8"/>
  <c r="H157" i="8"/>
  <c r="H156" i="8"/>
  <c r="H155" i="8"/>
  <c r="H154" i="8"/>
  <c r="H153" i="8"/>
  <c r="H152" i="8"/>
  <c r="H151" i="8"/>
  <c r="H150" i="8"/>
  <c r="H149" i="8"/>
  <c r="H148" i="8"/>
  <c r="H147" i="8"/>
  <c r="H146" i="8"/>
  <c r="H145" i="8"/>
  <c r="H144" i="8"/>
  <c r="H143" i="8"/>
  <c r="H142" i="8"/>
  <c r="H141" i="8"/>
  <c r="H140" i="8"/>
  <c r="H139" i="8"/>
  <c r="H138" i="8"/>
  <c r="H137" i="8"/>
  <c r="H136" i="8"/>
  <c r="H135" i="8"/>
  <c r="H134" i="8"/>
  <c r="H133" i="8"/>
  <c r="H132" i="8"/>
  <c r="H131" i="8"/>
  <c r="H130" i="8"/>
  <c r="H129" i="8"/>
  <c r="H128" i="8"/>
  <c r="H127" i="8"/>
  <c r="H126" i="8"/>
  <c r="H125" i="8"/>
  <c r="H124" i="8"/>
  <c r="H123" i="8"/>
  <c r="H122" i="8"/>
  <c r="H121" i="8"/>
  <c r="H120" i="8"/>
  <c r="H119" i="8"/>
  <c r="H118" i="8"/>
  <c r="H117" i="8"/>
  <c r="H116" i="8"/>
  <c r="H115" i="8"/>
  <c r="H114" i="8"/>
  <c r="H113" i="8"/>
  <c r="H112" i="8"/>
  <c r="H111" i="8"/>
  <c r="H87" i="8"/>
  <c r="H86" i="8"/>
  <c r="H85" i="8"/>
  <c r="H84" i="8"/>
  <c r="H83" i="8"/>
  <c r="H82" i="8"/>
  <c r="H81" i="8"/>
  <c r="H80" i="8"/>
  <c r="H79" i="8"/>
  <c r="H78" i="8"/>
  <c r="H77" i="8"/>
  <c r="H76" i="8"/>
  <c r="H75" i="8"/>
  <c r="H74" i="8"/>
  <c r="H73" i="8"/>
  <c r="H72" i="8"/>
  <c r="H71" i="8"/>
  <c r="H70" i="8"/>
  <c r="H69" i="8"/>
  <c r="H68" i="8"/>
  <c r="H67" i="8"/>
  <c r="H66" i="8"/>
  <c r="H65" i="8"/>
  <c r="H64" i="8"/>
  <c r="H63" i="8"/>
  <c r="H62" i="8"/>
  <c r="H61" i="8"/>
  <c r="H60" i="8"/>
  <c r="H59" i="8"/>
  <c r="H58" i="8"/>
  <c r="H57" i="8"/>
  <c r="H56" i="8"/>
  <c r="H55" i="8"/>
  <c r="D9" i="8"/>
  <c r="H9" i="8" s="1"/>
  <c r="D8" i="8"/>
  <c r="H8" i="8" s="1"/>
  <c r="D7" i="8"/>
  <c r="H7" i="8" s="1"/>
  <c r="H6" i="8"/>
  <c r="D6" i="8"/>
  <c r="D5" i="8"/>
  <c r="H5" i="8" s="1"/>
  <c r="AL4" i="8"/>
  <c r="AK4" i="8"/>
  <c r="Y4" i="8"/>
  <c r="X4" i="8"/>
  <c r="V4" i="8"/>
  <c r="S4" i="8"/>
  <c r="O4" i="8"/>
  <c r="L4" i="8"/>
  <c r="H4" i="8"/>
  <c r="D4" i="8"/>
  <c r="AH4" i="10"/>
  <c r="AG4" i="10"/>
  <c r="AF4" i="10"/>
  <c r="AE4" i="10"/>
  <c r="AD4" i="10"/>
  <c r="AC4" i="10"/>
  <c r="O4" i="10"/>
  <c r="J4" i="10"/>
  <c r="I4" i="10"/>
  <c r="E4" i="10"/>
</calcChain>
</file>

<file path=xl/comments1.xml><?xml version="1.0" encoding="utf-8"?>
<comments xmlns="http://schemas.openxmlformats.org/spreadsheetml/2006/main">
  <authors>
    <author>Stephanie Scullion</author>
  </authors>
  <commentList>
    <comment ref="D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SerialNumber will now include the PCB Issue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into traceability form and scan/archive supplier docs onto system</t>
        </r>
      </text>
    </comment>
    <comment ref="G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Date with colour green or red (pass/fail) 
Hyperlink to the relevant test for QAI001
Also includes verifcation of Coc &amp; Manufac test report. </t>
        </r>
      </text>
    </comment>
    <comment ref="AQ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This will include the delivery note, CoC, DoC, and hyperlink to short cuts to these documents</t>
        </r>
      </text>
    </comment>
  </commentList>
</comments>
</file>

<file path=xl/comments2.xml><?xml version="1.0" encoding="utf-8"?>
<comments xmlns="http://schemas.openxmlformats.org/spreadsheetml/2006/main">
  <authors>
    <author>Stephanie Scullion</author>
    <author>William Dudeney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SerialNumber will now include the PCB Issue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into traceability form and scan/archive supplier docs onto system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Date with colour green or red (pass/fail) 
Hyperlink to the relevant test for QAI001
Also includes verifcation of Coc &amp; Manufac test report. 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and archive/scan supplier docs onto system. Note - not the serial numbers until such time as supplier adds them</t>
        </r>
      </text>
    </comment>
    <comment ref="R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and archive/scan supplier docs onto system. Note - not the serial numbers until such time as supplier adds them</t>
        </r>
      </text>
    </comment>
    <comment ref="AV3" authorId="1" shapeId="0">
      <text>
        <r>
          <rPr>
            <b/>
            <sz val="9"/>
            <color indexed="81"/>
            <rFont val="Tahoma"/>
            <family val="2"/>
          </rPr>
          <t>William Dudeney:</t>
        </r>
        <r>
          <rPr>
            <sz val="9"/>
            <color indexed="81"/>
            <rFont val="Tahoma"/>
            <family val="2"/>
          </rPr>
          <t xml:space="preserve">
Initials of operative who tightened the bolts to specified torque, green for pass red for fail.
This negates the requirement for subsequent QA insepction on torque</t>
        </r>
      </text>
    </comment>
    <comment ref="AW3" authorId="1" shapeId="0">
      <text>
        <r>
          <rPr>
            <b/>
            <sz val="9"/>
            <color indexed="81"/>
            <rFont val="Tahoma"/>
            <family val="2"/>
          </rPr>
          <t>William Dudeney:</t>
        </r>
        <r>
          <rPr>
            <sz val="9"/>
            <color indexed="81"/>
            <rFont val="Tahoma"/>
            <family val="2"/>
          </rPr>
          <t xml:space="preserve">
Final QAI
1. DoCs &amp; CoCs produced, checked and filed
2. Traceability Log filled out completely
3. Final assembly inspection &amp; flamepath check
4. Torquing bolts correctly
5. Gland entry plugs verification
6. packaging and packaging identification verifications</t>
        </r>
      </text>
    </comment>
    <comment ref="BB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This will include the delivery note, CoC, DoC, and hyperlink to short cuts to these documents</t>
        </r>
      </text>
    </comment>
  </commentList>
</comments>
</file>

<file path=xl/sharedStrings.xml><?xml version="1.0" encoding="utf-8"?>
<sst xmlns="http://schemas.openxmlformats.org/spreadsheetml/2006/main" count="5166" uniqueCount="1857">
  <si>
    <t>Scrapped</t>
  </si>
  <si>
    <t>TL/A1591/27/0411AA</t>
  </si>
  <si>
    <t>Sub-contractor Serial Number</t>
  </si>
  <si>
    <t xml:space="preserve">W/O </t>
  </si>
  <si>
    <t>Project Name</t>
  </si>
  <si>
    <t>Despatch Date</t>
  </si>
  <si>
    <t>Comment/Fault or Recall</t>
  </si>
  <si>
    <t>Bartec Vodec Serial Number</t>
  </si>
  <si>
    <t>Not Known</t>
  </si>
  <si>
    <t>Colour</t>
  </si>
  <si>
    <t>8011-03</t>
  </si>
  <si>
    <t>Voltage</t>
  </si>
  <si>
    <t>TL/A1919/02/0911/AB</t>
  </si>
  <si>
    <t>TL/A1763/23/0711/AA</t>
  </si>
  <si>
    <t>TL/A1463/18/0211/AA</t>
  </si>
  <si>
    <t>7225/11</t>
  </si>
  <si>
    <t>TL/A1463/07/0211/AA</t>
  </si>
  <si>
    <t>TL/A1463/25/0211/AA</t>
  </si>
  <si>
    <t>TL/A1463/36/0211/AA</t>
  </si>
  <si>
    <t>TL/A1463/01/0211/AA</t>
  </si>
  <si>
    <t>TL/A1463/11/0211/AA</t>
  </si>
  <si>
    <t>TL/A1463/21/0211/AA</t>
  </si>
  <si>
    <t>TL/A1463/34/0211/AA</t>
  </si>
  <si>
    <t>TL/A1463/28/0211/AA</t>
  </si>
  <si>
    <t>TL/A1463/45/0211/AA</t>
  </si>
  <si>
    <t>TL/A1463/30/0211/AA</t>
  </si>
  <si>
    <t>7445/06</t>
  </si>
  <si>
    <t>DX3MC16</t>
  </si>
  <si>
    <t>423654/0509</t>
  </si>
  <si>
    <t>TLA1463470211AA</t>
  </si>
  <si>
    <t>TLA1463290211AA</t>
  </si>
  <si>
    <t>8020/01</t>
  </si>
  <si>
    <t>VAP30-A21</t>
  </si>
  <si>
    <t>VAP30-06</t>
  </si>
  <si>
    <t>TL/A/1919/31/0911AA</t>
  </si>
  <si>
    <t>TL/A/1919/33/0911AA</t>
  </si>
  <si>
    <t>TL/A1591/29/0411/AA</t>
  </si>
  <si>
    <t>TL/A1591/06/0411/AA</t>
  </si>
  <si>
    <t>TL/A1591/17/0411/AA</t>
  </si>
  <si>
    <t>TL/A1591/44/0411/AA</t>
  </si>
  <si>
    <t>TL/A1591/47/0411/AA</t>
  </si>
  <si>
    <t>TL/A1591/12/0411/AA</t>
  </si>
  <si>
    <t>TL/A1591/19/0411/AA</t>
  </si>
  <si>
    <t>TL/A1591/43/0411/AA</t>
  </si>
  <si>
    <t>RN16100/0807</t>
  </si>
  <si>
    <t>TL/A1763/06/0711/AA</t>
  </si>
  <si>
    <t>TL/A1763/42/0711/AA</t>
  </si>
  <si>
    <t>TL/A1294/16/1110/AA</t>
  </si>
  <si>
    <t>TL/A1294/47/1110/AA</t>
  </si>
  <si>
    <t>TL/A1381/37/1210/AA</t>
  </si>
  <si>
    <t>7673/15</t>
  </si>
  <si>
    <t>VAP01-21</t>
  </si>
  <si>
    <t>VAP01-11</t>
  </si>
  <si>
    <t>TL/A2251/03/0412/AB</t>
  </si>
  <si>
    <t>TL/A1763/35/0711/AA</t>
  </si>
  <si>
    <t>TL/A1763/32/0711/AA</t>
  </si>
  <si>
    <t>TL/A2003/26/1211/AA</t>
  </si>
  <si>
    <t>TL/A1919/38/0911/AB</t>
  </si>
  <si>
    <t>TL/A2003/16/1211/AA</t>
  </si>
  <si>
    <t>TL/A2003/09/1211/AA</t>
  </si>
  <si>
    <t>TL/A2003/17/1211/AA</t>
  </si>
  <si>
    <t>TL/A2003/38/1211/AA</t>
  </si>
  <si>
    <t>TL/A2003/43/1211/AA</t>
  </si>
  <si>
    <t>TL/A2003/44/1211/AA</t>
  </si>
  <si>
    <t>TL/A2003/41/1211/AA</t>
  </si>
  <si>
    <t>TL/A1763/47/0711/AA</t>
  </si>
  <si>
    <t>TL/A1919/36/0911/AB</t>
  </si>
  <si>
    <t>TL/A2003/37/1211/AA</t>
  </si>
  <si>
    <t>TL/A2003/14/1211/AA</t>
  </si>
  <si>
    <t>TL/A2003/46/1211/AA</t>
  </si>
  <si>
    <t>TL/A2003/25/1211/AA</t>
  </si>
  <si>
    <t>TL/A1763/43/0711/AA</t>
  </si>
  <si>
    <t>TL/A1763/33/0711/AA</t>
  </si>
  <si>
    <t>TL/A1763/37/0711/AA</t>
  </si>
  <si>
    <t>TL/A2003/29/1211/AA</t>
  </si>
  <si>
    <t>TL/A2003/34/1211/AA</t>
  </si>
  <si>
    <t>TL/A2003/39/1211/AA</t>
  </si>
  <si>
    <t>TL/A1763/40/0711/AA</t>
  </si>
  <si>
    <t>TL/A2003/24/1211/AA</t>
  </si>
  <si>
    <t>TL/A2003/28/1211/AA</t>
  </si>
  <si>
    <t>TL/A2003/23/1211/AA</t>
  </si>
  <si>
    <t>TL/A2003/05/1211/AA</t>
  </si>
  <si>
    <t>TL/A2003/19/1211/AA</t>
  </si>
  <si>
    <t>TL/A2003/15/1211/AA</t>
  </si>
  <si>
    <t>TL/A2003/10/1211/AA</t>
  </si>
  <si>
    <t>TL/A1763/48/0711/AA</t>
  </si>
  <si>
    <t>Development</t>
  </si>
  <si>
    <t>TLA1463270211AA</t>
  </si>
  <si>
    <t>TLA1463320211AA</t>
  </si>
  <si>
    <t>469899/0710</t>
  </si>
  <si>
    <t>469884/0710</t>
  </si>
  <si>
    <t>TLA1463380211AA</t>
  </si>
  <si>
    <t>TLA1463140211AA</t>
  </si>
  <si>
    <t>TL/A1463/55/0211/AA</t>
  </si>
  <si>
    <t>TL/A1463/42/0211/AA</t>
  </si>
  <si>
    <t>TL/A1463/46/0211/AA</t>
  </si>
  <si>
    <t>TL/A1463/40/0211/AA</t>
  </si>
  <si>
    <t>TL/A1463/23/0211/AA</t>
  </si>
  <si>
    <t>469889/0710</t>
  </si>
  <si>
    <t>469900/0710</t>
  </si>
  <si>
    <t>469898/0710</t>
  </si>
  <si>
    <t>469890/0710</t>
  </si>
  <si>
    <t>TL/A1463/26/0211/AA</t>
  </si>
  <si>
    <t>480972/0910</t>
  </si>
  <si>
    <t>TL/A1591/45/0411/AA</t>
  </si>
  <si>
    <t>7711/12</t>
  </si>
  <si>
    <t>TL/A1463/50/0211/AA</t>
  </si>
  <si>
    <t>TL/A1463/15/0211/AA</t>
  </si>
  <si>
    <t>VAP01-GO</t>
  </si>
  <si>
    <t>7402/05</t>
  </si>
  <si>
    <t>TL/A1763/28/0711/AA</t>
  </si>
  <si>
    <t>TL/A1763/07/0711/AA</t>
  </si>
  <si>
    <t>TL/A1763/11/0711/AA</t>
  </si>
  <si>
    <t>TL/A1763/01/0711/AA</t>
  </si>
  <si>
    <t>TL/A1763/02/0711/AA</t>
  </si>
  <si>
    <t>TL/A1763/09/0711/AA</t>
  </si>
  <si>
    <t>TL/A1763/16/0711/AA</t>
  </si>
  <si>
    <t>TL/A1763/14/0711/AA</t>
  </si>
  <si>
    <t>TL/A1591/09/0411/AA</t>
  </si>
  <si>
    <t>648/01</t>
  </si>
  <si>
    <t>TL/A1463/49/0211/AA</t>
  </si>
  <si>
    <t>TL/A1463/02/0211/AA</t>
  </si>
  <si>
    <t>TL/A1463/12/0211/AA</t>
  </si>
  <si>
    <t>TL/A1463/22/0211/AA</t>
  </si>
  <si>
    <t>TL/A1463/13/0211/AA</t>
  </si>
  <si>
    <t>TL/A1463/16/0211/AA</t>
  </si>
  <si>
    <t>TL/A1463/48/0211/AA</t>
  </si>
  <si>
    <t>SAFE</t>
  </si>
  <si>
    <t>TL/A1463/05/0211/AA</t>
  </si>
  <si>
    <t>TL/A1463/35/0211/AA</t>
  </si>
  <si>
    <t>TL/A1463/32/0211/AA</t>
  </si>
  <si>
    <t>TL/A1381/27/1210/AA</t>
  </si>
  <si>
    <t>TL/A1381/41/1210/AA</t>
  </si>
  <si>
    <t>TL/A1591/24/0411/AA</t>
  </si>
  <si>
    <t>TL/A1591/36/0411/AA</t>
  </si>
  <si>
    <t>7124/22</t>
  </si>
  <si>
    <t>TL/A2003/02/1211/AA</t>
  </si>
  <si>
    <t>TL/A1763/49/0711/AA</t>
  </si>
  <si>
    <t>TL/A1763/34/0711/AA</t>
  </si>
  <si>
    <t>TL/A1919/12/0911/AA</t>
  </si>
  <si>
    <t>TL/A2003/03/1211/AA</t>
  </si>
  <si>
    <t>7298-07</t>
  </si>
  <si>
    <t>TL/A1763/25/0711/AA</t>
  </si>
  <si>
    <t>TL/A1763/39/0711/AA</t>
  </si>
  <si>
    <t>8102/01</t>
  </si>
  <si>
    <t>TL/A1591/20/0411/AA</t>
  </si>
  <si>
    <t>TL/A1591/21/0411/AA</t>
  </si>
  <si>
    <t>TL/A1591/30/0411/AA</t>
  </si>
  <si>
    <t>TL/A1463/44/0211/AA</t>
  </si>
  <si>
    <t>TL/A1463/39/0211/AA</t>
  </si>
  <si>
    <t>TL/A1591/07/0411/AA</t>
  </si>
  <si>
    <t>TL/A1591/46/0411/AA</t>
  </si>
  <si>
    <t>TL/A1591/23/0411/AA</t>
  </si>
  <si>
    <t>TL/A1591/22/0411/AA</t>
  </si>
  <si>
    <t>TL/A1591/03/0411/AA</t>
  </si>
  <si>
    <t>TL/A1591/11/0411/AA</t>
  </si>
  <si>
    <t>TL/A1591/04/0411/AA</t>
  </si>
  <si>
    <t>TL/A1591/33/0411/AA</t>
  </si>
  <si>
    <t>TL/A1591/18/0411/AA</t>
  </si>
  <si>
    <t>TL/A1591/34/0411/AA</t>
  </si>
  <si>
    <t>TL/A1591/49/0411/AA</t>
  </si>
  <si>
    <t>TL/A1591/41/0411/AA</t>
  </si>
  <si>
    <t>TL/A1591/37/0411/AA</t>
  </si>
  <si>
    <t>VAP01-13</t>
  </si>
  <si>
    <t>VAP01-12</t>
  </si>
  <si>
    <t>VAP01-G1</t>
  </si>
  <si>
    <t>TL/A1463/10/0211/AA</t>
  </si>
  <si>
    <t>TL/A1463/19/0211/AA</t>
  </si>
  <si>
    <t>VAP30-A22</t>
  </si>
  <si>
    <t>TL/A1591/08/0411/AA</t>
  </si>
  <si>
    <t>TL/A1591/13/0411/AA</t>
  </si>
  <si>
    <t>TL/A1591/10/0411/AA</t>
  </si>
  <si>
    <t>TL/A1591/48/0411/AA</t>
  </si>
  <si>
    <t>TL/A1591/38/0411/AA</t>
  </si>
  <si>
    <t>TL/A1763/19/0711/AA</t>
  </si>
  <si>
    <t>TL/A1763/05/0711/AA</t>
  </si>
  <si>
    <t>TL/A1763/13/0711/AA</t>
  </si>
  <si>
    <t>TL/A1763/18/0711/AA</t>
  </si>
  <si>
    <t>TL/A1763/29/0711/AA</t>
  </si>
  <si>
    <t>TL/A1763/27/0711/AA</t>
  </si>
  <si>
    <t>TL/A1763/22/0711/AA</t>
  </si>
  <si>
    <t>TL/A1763/24/0711/AA</t>
  </si>
  <si>
    <t>TL/A1919/18/0911/AB</t>
  </si>
  <si>
    <t>TL/A1919/09/0911/AB</t>
  </si>
  <si>
    <t>469880/0710</t>
  </si>
  <si>
    <t>7673/10</t>
  </si>
  <si>
    <t>TL/A1591/31/0711/AA</t>
  </si>
  <si>
    <t>TL/A1763/10/0711/AA</t>
  </si>
  <si>
    <t>TL/A1763/15/0711AA</t>
  </si>
  <si>
    <t>TL/A1763/17/0711AA</t>
  </si>
  <si>
    <t>TL/A1763/20/0711AA</t>
  </si>
  <si>
    <t>TL/A1294/10/1110/AA</t>
  </si>
  <si>
    <t>TL/A1763/30/0711/AA</t>
  </si>
  <si>
    <t>TL/A1763/21/0711/AA</t>
  </si>
  <si>
    <t>NCR # (if applicable)</t>
  </si>
  <si>
    <t>RMA # (if applicable)</t>
  </si>
  <si>
    <t>TL/A1591/39/0411/AA</t>
  </si>
  <si>
    <t>TL/A1591/15/0411/AA</t>
  </si>
  <si>
    <t>TL/A1591/25/0411/AA</t>
  </si>
  <si>
    <t>TL/A1591/16/0411/AA</t>
  </si>
  <si>
    <t>TL/A1591/02/0411/AA</t>
  </si>
  <si>
    <t>TL/A1591/14/0411/AA</t>
  </si>
  <si>
    <t>TL/A1591/42/0411/AA</t>
  </si>
  <si>
    <t>TL/1463/24/0211/AA</t>
  </si>
  <si>
    <t>TL/1463/43/0211/AA</t>
  </si>
  <si>
    <t>TL/1463/06/0211/AA</t>
  </si>
  <si>
    <t>TL/1463/05/0211/AA</t>
  </si>
  <si>
    <t>RN16111/0807</t>
  </si>
  <si>
    <t>RN16111/0841</t>
  </si>
  <si>
    <t>RN16111/0809</t>
  </si>
  <si>
    <t>RN16111/0817</t>
  </si>
  <si>
    <t>RN16111/0833</t>
  </si>
  <si>
    <t>7402/04</t>
  </si>
  <si>
    <t>PRODUCT</t>
  </si>
  <si>
    <t>DISPATCH</t>
  </si>
  <si>
    <t>TL/A1919/25/1211AA</t>
  </si>
  <si>
    <t>TL/A1919/26/1211AA</t>
  </si>
  <si>
    <t>TL/A1919/03/1211AA</t>
  </si>
  <si>
    <t>TL/A1919/13/1211/AA</t>
  </si>
  <si>
    <t>TL/A1763/46/1211/AA</t>
  </si>
  <si>
    <t>TL/A2003/31/1211/AA</t>
  </si>
  <si>
    <t>VAP100B</t>
  </si>
  <si>
    <t>TLA2003/50/1211/AA</t>
  </si>
  <si>
    <t>254598/0105</t>
  </si>
  <si>
    <t>258718/0305</t>
  </si>
  <si>
    <t>254601/0105</t>
  </si>
  <si>
    <t>258722/0305</t>
  </si>
  <si>
    <t>258720/0305</t>
  </si>
  <si>
    <t>259724/0305</t>
  </si>
  <si>
    <t>258729/0305</t>
  </si>
  <si>
    <t>258730/0305</t>
  </si>
  <si>
    <t>258732/0305</t>
  </si>
  <si>
    <t>258727/0305</t>
  </si>
  <si>
    <t>254593/0105</t>
  </si>
  <si>
    <t>228717/0504</t>
  </si>
  <si>
    <t>258728/0305</t>
  </si>
  <si>
    <t>228719/0504</t>
  </si>
  <si>
    <t>277197/0905</t>
  </si>
  <si>
    <t>277198/0905</t>
  </si>
  <si>
    <t>277199/0905</t>
  </si>
  <si>
    <t>277200/0905</t>
  </si>
  <si>
    <t>277201/0905</t>
  </si>
  <si>
    <t>277202/0905</t>
  </si>
  <si>
    <t>277203/905</t>
  </si>
  <si>
    <t>277204/0905</t>
  </si>
  <si>
    <t>277205/0905</t>
  </si>
  <si>
    <t>277206/0905</t>
  </si>
  <si>
    <t>277207/0905</t>
  </si>
  <si>
    <t>277208/0905</t>
  </si>
  <si>
    <t>277209/0905</t>
  </si>
  <si>
    <t>277210/0905</t>
  </si>
  <si>
    <t>277211/0905</t>
  </si>
  <si>
    <t>277212/0905</t>
  </si>
  <si>
    <t>277213/0905</t>
  </si>
  <si>
    <t>277214/0905</t>
  </si>
  <si>
    <t>277215/0905</t>
  </si>
  <si>
    <t>277216/0509</t>
  </si>
  <si>
    <t>VAP100A</t>
  </si>
  <si>
    <t>284838/1105</t>
  </si>
  <si>
    <t>284839/1105</t>
  </si>
  <si>
    <t>284840/1105</t>
  </si>
  <si>
    <t>284841/1105</t>
  </si>
  <si>
    <t>284842/1105</t>
  </si>
  <si>
    <t>299055/0206</t>
  </si>
  <si>
    <t>299056/0206</t>
  </si>
  <si>
    <t>299057/0206</t>
  </si>
  <si>
    <t>299058/0206</t>
  </si>
  <si>
    <t>299059/0206</t>
  </si>
  <si>
    <t>299060/0206</t>
  </si>
  <si>
    <t>299061/0206</t>
  </si>
  <si>
    <t>299062/0206</t>
  </si>
  <si>
    <t>299063/0206</t>
  </si>
  <si>
    <t>299064/0206</t>
  </si>
  <si>
    <t>299065/0206</t>
  </si>
  <si>
    <t>299066/0206</t>
  </si>
  <si>
    <t>299067/0206</t>
  </si>
  <si>
    <t>299069/0206</t>
  </si>
  <si>
    <t>299068/0206</t>
  </si>
  <si>
    <t>301835/0306</t>
  </si>
  <si>
    <t>301847/0306</t>
  </si>
  <si>
    <t>301849/0306</t>
  </si>
  <si>
    <t>301850/0306</t>
  </si>
  <si>
    <t>301848/0306</t>
  </si>
  <si>
    <t>301851/0306</t>
  </si>
  <si>
    <t>301852/0306</t>
  </si>
  <si>
    <t>301853/0306</t>
  </si>
  <si>
    <t>301854/0306</t>
  </si>
  <si>
    <t>301855/0306</t>
  </si>
  <si>
    <t>301856/0306</t>
  </si>
  <si>
    <t>301857/0306</t>
  </si>
  <si>
    <t>301858/0306</t>
  </si>
  <si>
    <t>301859/0306</t>
  </si>
  <si>
    <t>301860/0306</t>
  </si>
  <si>
    <t>301861/0306</t>
  </si>
  <si>
    <t>301862/0306</t>
  </si>
  <si>
    <t>301864/0306</t>
  </si>
  <si>
    <t>301865/0306</t>
  </si>
  <si>
    <t>310482/0606</t>
  </si>
  <si>
    <t>310483/0606</t>
  </si>
  <si>
    <t>310484/0606</t>
  </si>
  <si>
    <t>310485/0606</t>
  </si>
  <si>
    <t>VAP 100A</t>
  </si>
  <si>
    <t>311066/0606</t>
  </si>
  <si>
    <t>VAP 100B</t>
  </si>
  <si>
    <t>310487/0606</t>
  </si>
  <si>
    <t>310488/0606</t>
  </si>
  <si>
    <t>310489/0606</t>
  </si>
  <si>
    <t>310490/0606</t>
  </si>
  <si>
    <t>310491/0606</t>
  </si>
  <si>
    <t>310492/0606</t>
  </si>
  <si>
    <t>310493/0606</t>
  </si>
  <si>
    <t>310494/0606</t>
  </si>
  <si>
    <t>310495/0606</t>
  </si>
  <si>
    <t>310496/0606</t>
  </si>
  <si>
    <t>310497/0606</t>
  </si>
  <si>
    <t>310498/0606</t>
  </si>
  <si>
    <t>310499/0606</t>
  </si>
  <si>
    <t>314639/0706</t>
  </si>
  <si>
    <t>314635/0706</t>
  </si>
  <si>
    <t>311065/0606</t>
  </si>
  <si>
    <t xml:space="preserve">VAP30 1MIC/2PCB </t>
  </si>
  <si>
    <t>317930/0806</t>
  </si>
  <si>
    <t>317926/0806</t>
  </si>
  <si>
    <t>313463/0706</t>
  </si>
  <si>
    <t>313951/0706</t>
  </si>
  <si>
    <t>313459/0706</t>
  </si>
  <si>
    <t>313449/0706</t>
  </si>
  <si>
    <t>313452/0706</t>
  </si>
  <si>
    <t>313465/0706</t>
  </si>
  <si>
    <t>299101/0206</t>
  </si>
  <si>
    <t>317125/0806</t>
  </si>
  <si>
    <t>299096/0206</t>
  </si>
  <si>
    <t>317126/0806</t>
  </si>
  <si>
    <t>313456/0707</t>
  </si>
  <si>
    <t>3124777/1206</t>
  </si>
  <si>
    <t>317928/0806</t>
  </si>
  <si>
    <t>313457/0706</t>
  </si>
  <si>
    <t>324775/1206</t>
  </si>
  <si>
    <t>317929/0806</t>
  </si>
  <si>
    <t>313450/0706</t>
  </si>
  <si>
    <t>3124770/1206</t>
  </si>
  <si>
    <t>3124779/1206</t>
  </si>
  <si>
    <t>3124778/1206</t>
  </si>
  <si>
    <t xml:space="preserve">VAP 100B </t>
  </si>
  <si>
    <t xml:space="preserve"> 313447/0706</t>
  </si>
  <si>
    <t>317923/0806</t>
  </si>
  <si>
    <t>313455/0706</t>
  </si>
  <si>
    <t>313462/0706</t>
  </si>
  <si>
    <t>/11</t>
  </si>
  <si>
    <t xml:space="preserve">             /GO</t>
  </si>
  <si>
    <t>313464/0706</t>
  </si>
  <si>
    <t>324776/1206</t>
  </si>
  <si>
    <t>/21</t>
  </si>
  <si>
    <t xml:space="preserve"> /GO</t>
  </si>
  <si>
    <t>313458/0706</t>
  </si>
  <si>
    <t>317931/0906</t>
  </si>
  <si>
    <t>100b</t>
  </si>
  <si>
    <t>RN 13236/0107</t>
  </si>
  <si>
    <t>RN 13221/0107</t>
  </si>
  <si>
    <t>RN13214/0107</t>
  </si>
  <si>
    <t>RN13239/0107</t>
  </si>
  <si>
    <t xml:space="preserve">         /11 - 'Call' </t>
  </si>
  <si>
    <t xml:space="preserve">         /11 - 'Call'</t>
  </si>
  <si>
    <t xml:space="preserve">              /11</t>
  </si>
  <si>
    <t xml:space="preserve">              /21</t>
  </si>
  <si>
    <t>RN1322/0107</t>
  </si>
  <si>
    <t>317925/0806</t>
  </si>
  <si>
    <t>DX3 MC16</t>
  </si>
  <si>
    <t>310481/0606</t>
  </si>
  <si>
    <t>RN13235/0107</t>
  </si>
  <si>
    <t>RN13229/0107</t>
  </si>
  <si>
    <t>7190-01</t>
  </si>
  <si>
    <t>8102-01</t>
  </si>
  <si>
    <t>RN13226/0107</t>
  </si>
  <si>
    <t>RN141203/0507</t>
  </si>
  <si>
    <t>RN141229/0507</t>
  </si>
  <si>
    <t>RN141209/0507</t>
  </si>
  <si>
    <t>RN141211/0507</t>
  </si>
  <si>
    <t>RN141221/0507</t>
  </si>
  <si>
    <t>RN141225/0507</t>
  </si>
  <si>
    <t>RN141226/0507</t>
  </si>
  <si>
    <t>31792/0806</t>
  </si>
  <si>
    <t>RN141216/0507</t>
  </si>
  <si>
    <t>317924/0806</t>
  </si>
  <si>
    <t>/23</t>
  </si>
  <si>
    <t>/G1</t>
  </si>
  <si>
    <t>/GO</t>
  </si>
  <si>
    <t>/22</t>
  </si>
  <si>
    <t>RN141227/0507</t>
  </si>
  <si>
    <t>MC16</t>
  </si>
  <si>
    <t>324503/1206</t>
  </si>
  <si>
    <t>WPS7091000/28</t>
  </si>
  <si>
    <t>WPS7091000/13</t>
  </si>
  <si>
    <t>RN141218/0507</t>
  </si>
  <si>
    <t>RN13223/0107</t>
  </si>
  <si>
    <t>RN141219/0507</t>
  </si>
  <si>
    <t>RN13234/0107</t>
  </si>
  <si>
    <t>RN13225/0107</t>
  </si>
  <si>
    <t>WPS70910000/04</t>
  </si>
  <si>
    <t>529110/1106</t>
  </si>
  <si>
    <t>320227/1006</t>
  </si>
  <si>
    <t>RN13213/0107</t>
  </si>
  <si>
    <t>RN13217/0107</t>
  </si>
  <si>
    <t>RN13211/0107</t>
  </si>
  <si>
    <t xml:space="preserve">VAP30 2/1 B  IS </t>
  </si>
  <si>
    <t>VAP30 2/1 A  IS</t>
  </si>
  <si>
    <t>VAP 01 1/1</t>
  </si>
  <si>
    <t>VAP01/13</t>
  </si>
  <si>
    <t>RN141220/0507</t>
  </si>
  <si>
    <t>RN13215/0107</t>
  </si>
  <si>
    <t>RN13227/0107</t>
  </si>
  <si>
    <t>RN16118/0807</t>
  </si>
  <si>
    <t>329117/1106</t>
  </si>
  <si>
    <t>WP8770910/0020</t>
  </si>
  <si>
    <t>WP870910/0001</t>
  </si>
  <si>
    <t>WP870910/0008</t>
  </si>
  <si>
    <t>WP870910/0009</t>
  </si>
  <si>
    <t>WP870910/0025</t>
  </si>
  <si>
    <t>WP870910/0010</t>
  </si>
  <si>
    <t>RN16109/0807</t>
  </si>
  <si>
    <t>RN13228/0107</t>
  </si>
  <si>
    <t>RN16091/0807</t>
  </si>
  <si>
    <t>VAP30 IS A</t>
  </si>
  <si>
    <t>VAP30 IS B</t>
  </si>
  <si>
    <t>RN13232/0107</t>
  </si>
  <si>
    <t>RN141210/0507</t>
  </si>
  <si>
    <t>RN13231/0107</t>
  </si>
  <si>
    <t>RN13220/0107</t>
  </si>
  <si>
    <t>RN141212/0507</t>
  </si>
  <si>
    <t>RN141122/0507</t>
  </si>
  <si>
    <t>RN16107/0807</t>
  </si>
  <si>
    <t>RN16095/0807</t>
  </si>
  <si>
    <t>RN16103/0807</t>
  </si>
  <si>
    <t>RN16116/0807</t>
  </si>
  <si>
    <t>RN141223/0507</t>
  </si>
  <si>
    <t>R141206/0507</t>
  </si>
  <si>
    <t>RN141215/0507</t>
  </si>
  <si>
    <t>RN16106/0807</t>
  </si>
  <si>
    <t>RN 16099/0807</t>
  </si>
  <si>
    <t>RN16105/0807</t>
  </si>
  <si>
    <t>RN16108/0807</t>
  </si>
  <si>
    <t>RN16114/0807</t>
  </si>
  <si>
    <t>RN16112/0807</t>
  </si>
  <si>
    <t>RN13216/0107</t>
  </si>
  <si>
    <t>RN13233/0107</t>
  </si>
  <si>
    <t>RN141224/0507</t>
  </si>
  <si>
    <t>RN141214/0507</t>
  </si>
  <si>
    <t>RN16104/0807</t>
  </si>
  <si>
    <t>WPS872244/014</t>
  </si>
  <si>
    <t>WPS872244/0003</t>
  </si>
  <si>
    <t>RN141207/0507</t>
  </si>
  <si>
    <t>VAP01-23</t>
  </si>
  <si>
    <t>RN16093/0807</t>
  </si>
  <si>
    <t>RN16117/0807</t>
  </si>
  <si>
    <t>RN16098/0807</t>
  </si>
  <si>
    <t>RN1312/0107</t>
  </si>
  <si>
    <t>RN16097/0807</t>
  </si>
  <si>
    <t>RN16102/0807</t>
  </si>
  <si>
    <t>RN16110/0807</t>
  </si>
  <si>
    <t>RN16094/0807</t>
  </si>
  <si>
    <t>RN21495/0108</t>
  </si>
  <si>
    <t>RN21497/0108</t>
  </si>
  <si>
    <t>RN2116312/1207</t>
  </si>
  <si>
    <t>RN21490/0108</t>
  </si>
  <si>
    <t>RN21491/0108</t>
  </si>
  <si>
    <t>RN21492/0108</t>
  </si>
  <si>
    <t>RN21151/1207</t>
  </si>
  <si>
    <t>RN21498/0108</t>
  </si>
  <si>
    <t>RN21489/0108</t>
  </si>
  <si>
    <t>RN21486/0108</t>
  </si>
  <si>
    <t>RN16120/0807</t>
  </si>
  <si>
    <t>RN214499/0108</t>
  </si>
  <si>
    <t>RN141231/0507</t>
  </si>
  <si>
    <t>RN21500/0108</t>
  </si>
  <si>
    <t>RN13238/0107</t>
  </si>
  <si>
    <t>RN141202/0507</t>
  </si>
  <si>
    <t>RN21494/0108</t>
  </si>
  <si>
    <t>RN141205/0507</t>
  </si>
  <si>
    <t>RN21152/1207</t>
  </si>
  <si>
    <t>RN21488/0108</t>
  </si>
  <si>
    <t>RN21496/0108</t>
  </si>
  <si>
    <t>RN21157/1207</t>
  </si>
  <si>
    <t>VAP01/22 deleted</t>
  </si>
  <si>
    <t>RN16092/0807</t>
  </si>
  <si>
    <t>RN16115/0807</t>
  </si>
  <si>
    <t>RN23013/0608</t>
  </si>
  <si>
    <t>VAP01-M SPECIAL</t>
  </si>
  <si>
    <t>VAP01/G0</t>
  </si>
  <si>
    <t>RN23017/0608/D</t>
  </si>
  <si>
    <t>RN23012/060/D</t>
  </si>
  <si>
    <t>VAP01/G1</t>
  </si>
  <si>
    <t>RN23027/0608</t>
  </si>
  <si>
    <t>RN23028/0608</t>
  </si>
  <si>
    <t>RN23019/0608</t>
  </si>
  <si>
    <t>RN23020/0608</t>
  </si>
  <si>
    <t>RN23025/0608</t>
  </si>
  <si>
    <t>RN23023/0608</t>
  </si>
  <si>
    <t>RN23029/0608</t>
  </si>
  <si>
    <t>RN23021/0608</t>
  </si>
  <si>
    <t>RN23011/0608</t>
  </si>
  <si>
    <t>RN23035/0608</t>
  </si>
  <si>
    <t>RN23018/0608</t>
  </si>
  <si>
    <t>RN21156/1207</t>
  </si>
  <si>
    <t>RN23009/0608</t>
  </si>
  <si>
    <t>RN23031/0608</t>
  </si>
  <si>
    <t>RN23024/0608</t>
  </si>
  <si>
    <t>RN23022/0608</t>
  </si>
  <si>
    <t>RN21149/1207</t>
  </si>
  <si>
    <t>RN23016/0608</t>
  </si>
  <si>
    <t>RN21153/1208</t>
  </si>
  <si>
    <t>WPS80567-0022</t>
  </si>
  <si>
    <t>WPS70910-0007</t>
  </si>
  <si>
    <t>RN24595/0109</t>
  </si>
  <si>
    <t>RN230008/0608</t>
  </si>
  <si>
    <t>RN14230/0507</t>
  </si>
  <si>
    <t>RN24574/0109</t>
  </si>
  <si>
    <t>RN/24589/0109</t>
  </si>
  <si>
    <t>TL/A1381/47/1210/AA</t>
  </si>
  <si>
    <t>TL/A1763/41/0711/AA</t>
  </si>
  <si>
    <t>7377-11</t>
  </si>
  <si>
    <t>VAP01/12 SPEC</t>
  </si>
  <si>
    <t>TL/A1763/45/0711/AA</t>
  </si>
  <si>
    <t>RN24579/0109</t>
  </si>
  <si>
    <t>RN24566/0109</t>
  </si>
  <si>
    <t>RN245920109</t>
  </si>
  <si>
    <t>RN245750109</t>
  </si>
  <si>
    <t>RN230030/0608</t>
  </si>
  <si>
    <t>RN24583/0109</t>
  </si>
  <si>
    <t>RN/24576/0109</t>
  </si>
  <si>
    <t>RN/24569/0109</t>
  </si>
  <si>
    <t>RN24567/0109</t>
  </si>
  <si>
    <t>RN24586/0109</t>
  </si>
  <si>
    <t>RN245832/0109</t>
  </si>
  <si>
    <t>RN24590/0109</t>
  </si>
  <si>
    <t>RN24572/0109</t>
  </si>
  <si>
    <t>RN/24573/0109/D</t>
  </si>
  <si>
    <t>RN/24580/0109/D</t>
  </si>
  <si>
    <t>RN/24581/0109/D</t>
  </si>
  <si>
    <t>RN/24584/0109/D</t>
  </si>
  <si>
    <t>RN/24840/0509/D</t>
  </si>
  <si>
    <t>RN/24594/0109/D</t>
  </si>
  <si>
    <t>RN/23010/0608/D</t>
  </si>
  <si>
    <t>RN/23014/0608/D</t>
  </si>
  <si>
    <t>RN/23015/0608/D</t>
  </si>
  <si>
    <t>RN/23034/0608/D</t>
  </si>
  <si>
    <t>RN/21156/1207/D</t>
  </si>
  <si>
    <t>RN/24578/0109/D</t>
  </si>
  <si>
    <t>476/1</t>
  </si>
  <si>
    <t>RN/21155/1207</t>
  </si>
  <si>
    <t>RN/24585/0109/D</t>
  </si>
  <si>
    <t>422553-0509</t>
  </si>
  <si>
    <t>100a</t>
  </si>
  <si>
    <t>RN14785/0607</t>
  </si>
  <si>
    <t xml:space="preserve">VAP30 IS </t>
  </si>
  <si>
    <t>RN145623/0207</t>
  </si>
  <si>
    <t>422578-0509</t>
  </si>
  <si>
    <t>422649-0509</t>
  </si>
  <si>
    <t>N/A</t>
  </si>
  <si>
    <t>VAP01/11</t>
  </si>
  <si>
    <t>VAP01/22</t>
  </si>
  <si>
    <t>VAP01/21</t>
  </si>
  <si>
    <t>VAP01/23</t>
  </si>
  <si>
    <t>VAP01/GO</t>
  </si>
  <si>
    <t xml:space="preserve">VAP 30 </t>
  </si>
  <si>
    <t>VAP30</t>
  </si>
  <si>
    <t>DCMC16</t>
  </si>
  <si>
    <t>WP874914/0010</t>
  </si>
  <si>
    <t>WP874914/0004</t>
  </si>
  <si>
    <t>WP874910/0001</t>
  </si>
  <si>
    <t>WP870910/0020</t>
  </si>
  <si>
    <t>13213/0107</t>
  </si>
  <si>
    <t>13211/0107</t>
  </si>
  <si>
    <t>13217/0107</t>
  </si>
  <si>
    <t>299071/0206</t>
  </si>
  <si>
    <t>299073/0206</t>
  </si>
  <si>
    <t>267768/0605</t>
  </si>
  <si>
    <t>CANCELLED</t>
  </si>
  <si>
    <t>422568/0509</t>
  </si>
  <si>
    <t>RN24859/0509</t>
  </si>
  <si>
    <t>RN24588-0109</t>
  </si>
  <si>
    <t>RN24571-0109</t>
  </si>
  <si>
    <t>RN24577-0109</t>
  </si>
  <si>
    <t>VAP01/00</t>
  </si>
  <si>
    <t>424206-7/0609</t>
  </si>
  <si>
    <t>424204-5/0609</t>
  </si>
  <si>
    <t>WORKS ORDER</t>
  </si>
  <si>
    <t>RN24593/0109</t>
  </si>
  <si>
    <t>TL/A2003/18/1211/AA</t>
  </si>
  <si>
    <t>TL/A2003/01/1211/AA</t>
  </si>
  <si>
    <t>422576/0509</t>
  </si>
  <si>
    <t>248444/0509</t>
  </si>
  <si>
    <t>RN248540/0509</t>
  </si>
  <si>
    <t>42422-3/0509</t>
  </si>
  <si>
    <t>RN25047/0609</t>
  </si>
  <si>
    <t>422574-5/0509</t>
  </si>
  <si>
    <t>RN/24858/0509</t>
  </si>
  <si>
    <t>100A</t>
  </si>
  <si>
    <t>100B</t>
  </si>
  <si>
    <t>424201/0609</t>
  </si>
  <si>
    <t>424205/0609</t>
  </si>
  <si>
    <t>422552/0509</t>
  </si>
  <si>
    <t>424217/0609</t>
  </si>
  <si>
    <t>RN/24843/0509</t>
  </si>
  <si>
    <t>RN/24845/0509</t>
  </si>
  <si>
    <t>RN25043/0509</t>
  </si>
  <si>
    <t>RN425265/0609</t>
  </si>
  <si>
    <t>422570/0509</t>
  </si>
  <si>
    <t>435594/1009</t>
  </si>
  <si>
    <t>43600/1009</t>
  </si>
  <si>
    <t>435587/1009</t>
  </si>
  <si>
    <t>435580/1009</t>
  </si>
  <si>
    <t>7556-06</t>
  </si>
  <si>
    <t>BACKBOX</t>
  </si>
  <si>
    <t>UNKNOWN</t>
  </si>
  <si>
    <t>422562/0509</t>
  </si>
  <si>
    <t>7670-02</t>
  </si>
  <si>
    <t>435589/1009</t>
  </si>
  <si>
    <t>BARTEC DEMO</t>
  </si>
  <si>
    <t>VAP01/12</t>
  </si>
  <si>
    <t>435581/1009</t>
  </si>
  <si>
    <t>435591/1009</t>
  </si>
  <si>
    <t>435590//1009</t>
  </si>
  <si>
    <t>435595/1009</t>
  </si>
  <si>
    <t>VAP01-22</t>
  </si>
  <si>
    <t>7168-01</t>
  </si>
  <si>
    <t>435588/1009</t>
  </si>
  <si>
    <t>435592/1009</t>
  </si>
  <si>
    <t>435584/1009</t>
  </si>
  <si>
    <t>435582/1009</t>
  </si>
  <si>
    <t>435578/1009</t>
  </si>
  <si>
    <t>435598/1009</t>
  </si>
  <si>
    <t>435599/1009</t>
  </si>
  <si>
    <t>424202/0609</t>
  </si>
  <si>
    <t>424560/0609</t>
  </si>
  <si>
    <t>424214/0609</t>
  </si>
  <si>
    <t>435584-1009</t>
  </si>
  <si>
    <t>449177/0310</t>
  </si>
  <si>
    <t>435586-1009</t>
  </si>
  <si>
    <t>422578/0509</t>
  </si>
  <si>
    <t>422564/0509</t>
  </si>
  <si>
    <t>435576/1009</t>
  </si>
  <si>
    <t>449173/0310</t>
  </si>
  <si>
    <t>TL/A1919/26/0711/AA</t>
  </si>
  <si>
    <t>7623/06</t>
  </si>
  <si>
    <t>449165/0310</t>
  </si>
  <si>
    <t>7582-03</t>
  </si>
  <si>
    <t>449174/0310</t>
  </si>
  <si>
    <t>449170/0310</t>
  </si>
  <si>
    <t>449167/0310</t>
  </si>
  <si>
    <t>7140-09</t>
  </si>
  <si>
    <t>ABAN</t>
  </si>
  <si>
    <t>449176/0310</t>
  </si>
  <si>
    <t>449183/0310</t>
  </si>
  <si>
    <t>449182/0310</t>
  </si>
  <si>
    <t>449179/0310</t>
  </si>
  <si>
    <t>449184/0310</t>
  </si>
  <si>
    <t>449175/0310</t>
  </si>
  <si>
    <t>435585/1009</t>
  </si>
  <si>
    <t>7677-05</t>
  </si>
  <si>
    <t>7124-06</t>
  </si>
  <si>
    <t>449180/0310</t>
  </si>
  <si>
    <t>7820-02</t>
  </si>
  <si>
    <t>422579/0509</t>
  </si>
  <si>
    <t>SITE SERVICE</t>
  </si>
  <si>
    <t>423664/0509 &amp; 423665/0509</t>
  </si>
  <si>
    <t>42365/0509 &amp; 423654/0509</t>
  </si>
  <si>
    <t>469876/0710</t>
  </si>
  <si>
    <t>469882/0710</t>
  </si>
  <si>
    <t>469896/0710</t>
  </si>
  <si>
    <t>469902/0710</t>
  </si>
  <si>
    <t>469875/0710</t>
  </si>
  <si>
    <t>469873/0710</t>
  </si>
  <si>
    <t>469901/0710</t>
  </si>
  <si>
    <t>469897/0710</t>
  </si>
  <si>
    <t>469885/0710</t>
  </si>
  <si>
    <t>469894/0710</t>
  </si>
  <si>
    <t>469883/0710</t>
  </si>
  <si>
    <t>469878/0710</t>
  </si>
  <si>
    <t>WPS70910/0001</t>
  </si>
  <si>
    <t>469888/0710</t>
  </si>
  <si>
    <t>VAP01/M1</t>
  </si>
  <si>
    <t>7711-08</t>
  </si>
  <si>
    <t>449166/0310</t>
  </si>
  <si>
    <t>469874/0710</t>
  </si>
  <si>
    <t>TL/A1919/17/1211AA</t>
  </si>
  <si>
    <t>TL/A1919/20/1211AA</t>
  </si>
  <si>
    <t>TL/A1919/21/1211AA</t>
  </si>
  <si>
    <t>TL/A1919/22/1211AA</t>
  </si>
  <si>
    <t>TL/A1919/23/1211AA</t>
  </si>
  <si>
    <t>TL/A1919/43/1211AA</t>
  </si>
  <si>
    <t>TL/A1919/44/1211AA</t>
  </si>
  <si>
    <t>VAP30A22</t>
  </si>
  <si>
    <t>Date Delivered</t>
  </si>
  <si>
    <t>Bartec Vodec Purchase Order Number</t>
  </si>
  <si>
    <t>8099-01</t>
  </si>
  <si>
    <t>TL/A1294/40/1110/AA</t>
  </si>
  <si>
    <t>TL/A1381/23/1210/AA</t>
  </si>
  <si>
    <t>VAP01-G0</t>
  </si>
  <si>
    <t>TL/A1381/45/1210/AA</t>
  </si>
  <si>
    <t>TL/A2003/48/1211/AA</t>
  </si>
  <si>
    <t>TL/A2003/27/1211/AA</t>
  </si>
  <si>
    <t>TL/A2003/33/1211/AA</t>
  </si>
  <si>
    <t>TL/A2003/49/1211/AA</t>
  </si>
  <si>
    <t>TL/A2003/22/1211/AA</t>
  </si>
  <si>
    <t>TL/A2003/40/1211/AA</t>
  </si>
  <si>
    <t>TL/A2003/47/1211/AA</t>
  </si>
  <si>
    <t>TL/A2003/30/1211/AA</t>
  </si>
  <si>
    <t>TL/A2003/451211/AA</t>
  </si>
  <si>
    <t>TL/A2003/42/1211/AA</t>
  </si>
  <si>
    <t>TL/A2003/36/1211/AA</t>
  </si>
  <si>
    <t>TL/A2003/35/1211/AA</t>
  </si>
  <si>
    <t>TL/A2003/21/1211/AA</t>
  </si>
  <si>
    <t>TL/A2003/32/1211/AA</t>
  </si>
  <si>
    <t>TL/A2003/8/1211/AA</t>
  </si>
  <si>
    <t>TL/A2003/7/1211/AA</t>
  </si>
  <si>
    <t>TL/A2251/07/0412/AB</t>
  </si>
  <si>
    <t>TL/A2341/15/0512/AA</t>
  </si>
  <si>
    <t>TL/A2341/03/0512/AA</t>
  </si>
  <si>
    <t>TL/A1763/36/0711/AA</t>
  </si>
  <si>
    <t>7225-19</t>
  </si>
  <si>
    <t>TL/A2341/14/0512/AA</t>
  </si>
  <si>
    <t>TL/A2341/08/0512/AA</t>
  </si>
  <si>
    <t>TL/A2341/17/0512/AA</t>
  </si>
  <si>
    <t>TL/A2341/05/0512/AA</t>
  </si>
  <si>
    <t>TL/A2341/07/0512/AA</t>
  </si>
  <si>
    <t>TL/A2341/10/0512/AA</t>
  </si>
  <si>
    <t>TL/A2251/20/0512/AB</t>
  </si>
  <si>
    <t>VAP01-2G2</t>
  </si>
  <si>
    <t>28/6/2012</t>
  </si>
  <si>
    <t>TL/A2341/09/0512/AA</t>
  </si>
  <si>
    <t>TL/A2341/19/0512/AA</t>
  </si>
  <si>
    <t>8002-06</t>
  </si>
  <si>
    <t>TL/A2341/32/0512/AA</t>
  </si>
  <si>
    <t>TL/A2341/23/0512/AA</t>
  </si>
  <si>
    <t>30/7/2012</t>
  </si>
  <si>
    <t>TL/A2341/01/0512/AA</t>
  </si>
  <si>
    <t>TL/A2341/18/0512/AA</t>
  </si>
  <si>
    <t>TL/A2341/04/0512/AA</t>
  </si>
  <si>
    <t>TL/A2341/50/0512/AA</t>
  </si>
  <si>
    <t>TL/A2341/30/0512/AA</t>
  </si>
  <si>
    <t>TL/A2341/13/0512/AA</t>
  </si>
  <si>
    <t>29/7/2012</t>
  </si>
  <si>
    <t>TL/A2341/31/0512/AA</t>
  </si>
  <si>
    <t>TL/A2341/38/0512/AA</t>
  </si>
  <si>
    <t>TL/A2341/12/0512/AA</t>
  </si>
  <si>
    <t>TL/A2567/43/0712/AA</t>
  </si>
  <si>
    <t>TL/A2567/39/0712/AA</t>
  </si>
  <si>
    <t>TL/A2251/14/0612/AB</t>
  </si>
  <si>
    <t>TL/A2251/17/0612/AB</t>
  </si>
  <si>
    <t>TL/A2341/34/0512/AA</t>
  </si>
  <si>
    <t>TL/A2341/26/0512/AA</t>
  </si>
  <si>
    <t>TL/A2341/46/0512/AA</t>
  </si>
  <si>
    <t>TL/A2341/39/0512/AA</t>
  </si>
  <si>
    <t>TL/A2341/21/0512/AA</t>
  </si>
  <si>
    <t>TL/A2341/25/0512/AA</t>
  </si>
  <si>
    <t>TL/A2341/40/0512/AA</t>
  </si>
  <si>
    <t>TL/A2341/49/0512/AA</t>
  </si>
  <si>
    <t>TL/A2341/42/0512/AA</t>
  </si>
  <si>
    <t>TL/A2341/37/0512/AA</t>
  </si>
  <si>
    <t>TL/A2341/24/0512/AA</t>
  </si>
  <si>
    <t>TL/A2341/33/0512/AA</t>
  </si>
  <si>
    <t>TL/A2341/35/0512/AA</t>
  </si>
  <si>
    <t>TL/A2567/01/0712/AA</t>
  </si>
  <si>
    <t>TL/A2567/44/0512/AA</t>
  </si>
  <si>
    <t>TL/A2567/26/0712/AA</t>
  </si>
  <si>
    <t>TL/A2567/47/0712/AA</t>
  </si>
  <si>
    <t>TL/A2567/40/0712/AA</t>
  </si>
  <si>
    <t>TL/A2567/15/0712/AA</t>
  </si>
  <si>
    <t>TL/A2567/38/0712/AA</t>
  </si>
  <si>
    <t>TL/A2567/34/0712/AA</t>
  </si>
  <si>
    <t>TL/A2341/20/0512/AA</t>
  </si>
  <si>
    <t>TL/A2341/29/0512/AA</t>
  </si>
  <si>
    <t>TL/A2567/33/0712/AA</t>
  </si>
  <si>
    <t>TL/A2567/41/0712/AA</t>
  </si>
  <si>
    <t>TL/A2567/36/0712/AA</t>
  </si>
  <si>
    <t>TL/A2251/40/0612/AB</t>
  </si>
  <si>
    <t>TL/A2567/31/0712/AA</t>
  </si>
  <si>
    <t>842</t>
  </si>
  <si>
    <t>843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</si>
  <si>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</si>
  <si>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</si>
  <si>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</si>
  <si>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</si>
  <si>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</si>
  <si>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</si>
  <si>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</si>
  <si>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</si>
  <si>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</si>
  <si>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</si>
  <si>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</si>
  <si>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</si>
  <si>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</si>
  <si>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</si>
  <si>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</si>
  <si>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</si>
  <si>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</si>
  <si>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</si>
  <si>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</si>
  <si>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</si>
  <si>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</si>
  <si>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TL/A2567/13/0712/AA</t>
  </si>
  <si>
    <t>TL/A2567/05/0712/AA</t>
  </si>
  <si>
    <t>TL/A2567/02/0712/AA</t>
  </si>
  <si>
    <t>TL/A2665/02/0912/AA</t>
  </si>
  <si>
    <t>TL/A2567/18/0712/AA</t>
  </si>
  <si>
    <t>TL/A2567/23/0712/AA</t>
  </si>
  <si>
    <t>TL/A2567/21/0712/AA</t>
  </si>
  <si>
    <t>TL/A2567/24/0712/AA</t>
  </si>
  <si>
    <t>TL/A2567/09/0712/AA</t>
  </si>
  <si>
    <t>TL/A2567/27/0712/AA</t>
  </si>
  <si>
    <t>TL/A2567/48/0712/AA</t>
  </si>
  <si>
    <t>TL/A2567/28/0712/AA</t>
  </si>
  <si>
    <t>TL/A2567/25/0712/AA</t>
  </si>
  <si>
    <t>TL/A2567/30/0712/AA</t>
  </si>
  <si>
    <t>TL/A2567/42/0712/AA</t>
  </si>
  <si>
    <t>TL/A2567/11/0712/AA</t>
  </si>
  <si>
    <t>TL/A2567/46/0712/AA</t>
  </si>
  <si>
    <t>TL/A2567/12/0712/AA</t>
  </si>
  <si>
    <t>TL/A2567/35/0712/AA</t>
  </si>
  <si>
    <t>TL/A2567/04/0712/AA</t>
  </si>
  <si>
    <t>TL/A2567/10/0712/AA</t>
  </si>
  <si>
    <t>TL/A2567/19/0712/AA</t>
  </si>
  <si>
    <t>7177-01</t>
  </si>
  <si>
    <t>TL/A2567/17/0712/AA</t>
  </si>
  <si>
    <t>TL/A2567/32/0712/AA</t>
  </si>
  <si>
    <t>TL/A2567/50/0712/AA</t>
  </si>
  <si>
    <t>TL/A2567/22/0712/AA</t>
  </si>
  <si>
    <t>VAP30-A11</t>
  </si>
  <si>
    <t>WPS70910/0009</t>
  </si>
  <si>
    <t>WPS70910/0008</t>
  </si>
  <si>
    <t>865</t>
  </si>
  <si>
    <t>866</t>
  </si>
  <si>
    <t>867</t>
  </si>
  <si>
    <t>868</t>
  </si>
  <si>
    <t>869</t>
  </si>
  <si>
    <t>870</t>
  </si>
  <si>
    <t>TL/A2567/20/0712/AA</t>
  </si>
  <si>
    <t>TL/A2567/03/0712/AA</t>
  </si>
  <si>
    <t>TL/A2567/08/0712/AA</t>
  </si>
  <si>
    <t>TL/A2567/29/0712/AA</t>
  </si>
  <si>
    <t>TL/A2251/39/0612/AB</t>
  </si>
  <si>
    <t>7335-41</t>
  </si>
  <si>
    <t>7469-13</t>
  </si>
  <si>
    <t>871</t>
  </si>
  <si>
    <t>872</t>
  </si>
  <si>
    <t>873</t>
  </si>
  <si>
    <t>874</t>
  </si>
  <si>
    <t>875</t>
  </si>
  <si>
    <t>TL/A2567/06/0712/AA</t>
  </si>
  <si>
    <t>TL/A2567/07/0712/AA</t>
  </si>
  <si>
    <t>TL/A2567/45/0712/AA</t>
  </si>
  <si>
    <t>TL/A2665/35/0912/AB</t>
  </si>
  <si>
    <t>TL/A2251/42/0612/AB</t>
  </si>
  <si>
    <t>7225-26</t>
  </si>
  <si>
    <t>876</t>
  </si>
  <si>
    <t>878</t>
  </si>
  <si>
    <t>879</t>
  </si>
  <si>
    <t>880</t>
  </si>
  <si>
    <t>881</t>
  </si>
  <si>
    <t>882</t>
  </si>
  <si>
    <t>883</t>
  </si>
  <si>
    <t>884</t>
  </si>
  <si>
    <t>885</t>
  </si>
  <si>
    <t>886</t>
  </si>
  <si>
    <t>887</t>
  </si>
  <si>
    <t>888</t>
  </si>
  <si>
    <t>889</t>
  </si>
  <si>
    <t>890</t>
  </si>
  <si>
    <t>891</t>
  </si>
  <si>
    <t>892</t>
  </si>
  <si>
    <t>893</t>
  </si>
  <si>
    <t>894</t>
  </si>
  <si>
    <t>895</t>
  </si>
  <si>
    <t>896</t>
  </si>
  <si>
    <t>897</t>
  </si>
  <si>
    <t>TL/A2665/40/0912/AB</t>
  </si>
  <si>
    <t>TL/A1763/50/0711/AA</t>
  </si>
  <si>
    <t>TL/A2567/37/0712/AA</t>
  </si>
  <si>
    <t>TL/A2665/05/1012/AB</t>
  </si>
  <si>
    <t>TL/A2665/04/0912/AB</t>
  </si>
  <si>
    <t>TL/A2665/03/0912/AB</t>
  </si>
  <si>
    <t>TL/A2665/01/0912/AB</t>
  </si>
  <si>
    <t>TL/A2251/48/0612/AB</t>
  </si>
  <si>
    <t>TL/A2251/49/0612/AB</t>
  </si>
  <si>
    <t>TL/A2665/14/0912/AB</t>
  </si>
  <si>
    <t>TL/A2665/17/0912/AB</t>
  </si>
  <si>
    <t>TL/A2251/43/0612/AB</t>
  </si>
  <si>
    <t>TL/A2251/35/0612/AB</t>
  </si>
  <si>
    <t>TL/A2665/20/0912/AB</t>
  </si>
  <si>
    <t>TL/A2251/32/0612/AB</t>
  </si>
  <si>
    <t>RN/39383/1112/AA</t>
  </si>
  <si>
    <t>RN/39393/1112/AA</t>
  </si>
  <si>
    <t>RN/39384/1112/AA</t>
  </si>
  <si>
    <t>TL/A2003/12/1211/AA</t>
  </si>
  <si>
    <t>RN/39388/1112/AA</t>
  </si>
  <si>
    <t>RN/39386/1112/AA</t>
  </si>
  <si>
    <t>RN/39398/1112/AA</t>
  </si>
  <si>
    <t>RN/39382/1112/AA</t>
  </si>
  <si>
    <t>RN/39391/1112/AA</t>
  </si>
  <si>
    <t>TL/A2665/34/0912/AB</t>
  </si>
  <si>
    <t>TL/A2665/50/0912/AB</t>
  </si>
  <si>
    <t>TL/A2567/49/0712/AA</t>
  </si>
  <si>
    <t>RN/39394/1112/AA</t>
  </si>
  <si>
    <t>RN/39385/1112/AA</t>
  </si>
  <si>
    <t>RN/39396/1112/AA</t>
  </si>
  <si>
    <t>RN/39395/1112/AA</t>
  </si>
  <si>
    <t>901</t>
  </si>
  <si>
    <t>902</t>
  </si>
  <si>
    <t>903</t>
  </si>
  <si>
    <t>904</t>
  </si>
  <si>
    <t>905</t>
  </si>
  <si>
    <t>RN/38967/1112/AB</t>
  </si>
  <si>
    <t>RN/37479/0812/AB</t>
  </si>
  <si>
    <t>RN/37501/0812/AB</t>
  </si>
  <si>
    <t>TL/A2665/44/0912/AB</t>
  </si>
  <si>
    <t>7189-13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</si>
  <si>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</si>
  <si>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</si>
  <si>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</si>
  <si>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</si>
  <si>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</si>
  <si>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</si>
  <si>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</si>
  <si>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</si>
  <si>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</si>
  <si>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</si>
  <si>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</si>
  <si>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</si>
  <si>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</si>
  <si>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</si>
  <si>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</si>
  <si>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</si>
  <si>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RN/39380/1112/AA</t>
  </si>
  <si>
    <t>RN/39397/1112/AA</t>
  </si>
  <si>
    <t>RN/39387/1112/AB</t>
  </si>
  <si>
    <t>RN/39392/1112/AB</t>
  </si>
  <si>
    <t>RN/39381/1112/AB</t>
  </si>
  <si>
    <t>RN/38976/1112/AB</t>
  </si>
  <si>
    <t>RN/38972/1112/AB</t>
  </si>
  <si>
    <t>RN/32499/0812/AB</t>
  </si>
  <si>
    <t>RN/37500/0812/AB</t>
  </si>
  <si>
    <t>RN/37496/0812/AB</t>
  </si>
  <si>
    <t>RN/38979/1112/AB</t>
  </si>
  <si>
    <t>RN/37502/0812/AB</t>
  </si>
  <si>
    <t>RN/38965/1112/AB</t>
  </si>
  <si>
    <t>RN/38973/1112/AB</t>
  </si>
  <si>
    <t>RN/38969/1112/AB</t>
  </si>
  <si>
    <t>8053-08</t>
  </si>
  <si>
    <t>7298-11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</si>
  <si>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</si>
  <si>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</si>
  <si>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</si>
  <si>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</si>
  <si>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</si>
  <si>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</si>
  <si>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</si>
  <si>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</si>
  <si>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</si>
  <si>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</si>
  <si>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</si>
  <si>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RN/37486/0812/AB</t>
  </si>
  <si>
    <t>8154-08</t>
  </si>
  <si>
    <t>RN/37491/0812/AB</t>
  </si>
  <si>
    <t>TL/A2839/02/1112/AB
TL/A2839/24/1112/AB</t>
  </si>
  <si>
    <t>933</t>
  </si>
  <si>
    <t>934</t>
  </si>
  <si>
    <t>RN37507/0812/AB</t>
  </si>
  <si>
    <t>TL/A2839/48/1112/AB</t>
  </si>
  <si>
    <t>8163-02</t>
  </si>
  <si>
    <t>RN/39390/1112/AA</t>
  </si>
  <si>
    <t>RN/37480/0812/AB</t>
  </si>
  <si>
    <t>RN/39389/1112/AA</t>
  </si>
  <si>
    <t>RN/37489/0812/AB</t>
  </si>
  <si>
    <t>RN/37506/0812/AB</t>
  </si>
  <si>
    <t>RN/38975/1112/AB</t>
  </si>
  <si>
    <t>RN/38978/1112/AB</t>
  </si>
  <si>
    <t>VAP30-06-A21</t>
  </si>
  <si>
    <t>VAP30-06-A22</t>
  </si>
  <si>
    <t>935</t>
  </si>
  <si>
    <t>936</t>
  </si>
  <si>
    <t>937</t>
  </si>
  <si>
    <t>TL/A2839/06/1112/AB</t>
  </si>
  <si>
    <t>RN/38970/1112/AB</t>
  </si>
  <si>
    <t>RN/37494/0812/AB</t>
  </si>
  <si>
    <t>RN/37484/0812/AB</t>
  </si>
  <si>
    <t>RN/39399/1112/AA</t>
  </si>
  <si>
    <t>TL/A2839/01/1112/AB
TL/A2839/22/1112/AB</t>
  </si>
  <si>
    <t>RN/37481/0812/AB</t>
  </si>
  <si>
    <t>RN/37487/0812/AB</t>
  </si>
  <si>
    <t>RN/37498/0812/AB</t>
  </si>
  <si>
    <t>TL/A2839/14/1112/AB</t>
  </si>
  <si>
    <t>TL/A2839/50/1112/AB
TL/A2839/36/1112/AB</t>
  </si>
  <si>
    <t>7070-02</t>
  </si>
  <si>
    <t>8100-11</t>
  </si>
  <si>
    <t>TL/A2839/33/1112/AB</t>
  </si>
  <si>
    <t>RN/37478/0812/AB</t>
  </si>
  <si>
    <t>TL/A1763/31/0711/AA</t>
  </si>
  <si>
    <t>RN/37492/0812/AB</t>
  </si>
  <si>
    <t>RN/38966/1112/AB</t>
  </si>
  <si>
    <t>TL/A2839/12/1112/AB</t>
  </si>
  <si>
    <t>7225-33</t>
  </si>
  <si>
    <t>RN/37490/0812/AB</t>
  </si>
  <si>
    <t>RN/37497/0812/AB</t>
  </si>
  <si>
    <t>TL/A1763/44/0711/AA</t>
  </si>
  <si>
    <t>RN/38971/1112/AB</t>
  </si>
  <si>
    <t>RN/37505/0812/AB</t>
  </si>
  <si>
    <t>RN/38982/1112/AB</t>
  </si>
  <si>
    <t>957</t>
  </si>
  <si>
    <t>958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</si>
  <si>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</si>
  <si>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</si>
  <si>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</si>
  <si>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</si>
  <si>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</si>
  <si>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</si>
  <si>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</si>
  <si>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</si>
  <si>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</si>
  <si>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</si>
  <si>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TL/A2839/30/1112/AB</t>
  </si>
  <si>
    <t>RN38981/1112/AB</t>
  </si>
  <si>
    <t>RN37485/0812/AB</t>
  </si>
  <si>
    <t>RN37488/0812/AB</t>
  </si>
  <si>
    <t>RN38968/1112/AB</t>
  </si>
  <si>
    <t>RN37482/0812/AB</t>
  </si>
  <si>
    <t>RN38964/1112/AB</t>
  </si>
  <si>
    <t>RN37481/0812/AB</t>
  </si>
  <si>
    <t>RN38983/1112/AB</t>
  </si>
  <si>
    <t>RN37495/0812/AB</t>
  </si>
  <si>
    <t>RN38980/1112/AB</t>
  </si>
  <si>
    <t>7373-11</t>
  </si>
  <si>
    <t>7373-12</t>
  </si>
  <si>
    <t>8112-09</t>
  </si>
  <si>
    <t>8241-01</t>
  </si>
  <si>
    <t>VAP01</t>
  </si>
  <si>
    <t>7716-16</t>
  </si>
  <si>
    <t>7298-14</t>
  </si>
  <si>
    <t>7190-06</t>
  </si>
  <si>
    <t>7780-03</t>
  </si>
  <si>
    <t>969</t>
  </si>
  <si>
    <t>970</t>
  </si>
  <si>
    <t>971</t>
  </si>
  <si>
    <t>972</t>
  </si>
  <si>
    <t>973</t>
  </si>
  <si>
    <t>974</t>
  </si>
  <si>
    <t>975</t>
  </si>
  <si>
    <t>976</t>
  </si>
  <si>
    <t>977</t>
  </si>
  <si>
    <t>978</t>
  </si>
  <si>
    <t>979</t>
  </si>
  <si>
    <t>980</t>
  </si>
  <si>
    <t>981</t>
  </si>
  <si>
    <t>982</t>
  </si>
  <si>
    <t>983</t>
  </si>
  <si>
    <t>984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</si>
  <si>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</si>
  <si>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</si>
  <si>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</si>
  <si>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</si>
  <si>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</si>
  <si>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</si>
  <si>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</si>
  <si>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</si>
  <si>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</si>
  <si>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994</t>
  </si>
  <si>
    <t>995</t>
  </si>
  <si>
    <t>996</t>
  </si>
  <si>
    <t>997</t>
  </si>
  <si>
    <t>998</t>
  </si>
  <si>
    <t>999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</si>
  <si>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</si>
  <si>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</si>
  <si>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</si>
  <si>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</si>
  <si>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</si>
  <si>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</si>
  <si>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</si>
  <si>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</si>
  <si>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</si>
  <si>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</si>
  <si>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</si>
  <si>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</si>
  <si>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1012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</si>
  <si>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</si>
  <si>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</si>
  <si>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</si>
  <si>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</si>
  <si>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</si>
  <si>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</si>
  <si>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</si>
  <si>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</si>
  <si>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</si>
  <si>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</si>
  <si>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</si>
  <si>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</si>
  <si>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</si>
  <si>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</si>
  <si>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</si>
  <si>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</si>
  <si>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</si>
  <si>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</si>
  <si>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</si>
  <si>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</si>
  <si>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</si>
  <si>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</si>
  <si>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</si>
  <si>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</si>
  <si>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</si>
  <si>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</si>
  <si>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</si>
  <si>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</si>
  <si>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</si>
  <si>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</si>
  <si>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</si>
  <si>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</si>
  <si>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</si>
  <si>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</si>
  <si>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</si>
  <si>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</si>
  <si>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</si>
  <si>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</si>
  <si>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</si>
  <si>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</si>
  <si>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</si>
  <si>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</si>
  <si>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</si>
  <si>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</si>
  <si>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</si>
  <si>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</si>
  <si>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</si>
  <si>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</si>
  <si>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</si>
  <si>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</si>
  <si>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</si>
  <si>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</si>
  <si>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</si>
  <si>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</si>
  <si>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</si>
  <si>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</si>
  <si>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</si>
  <si>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</si>
  <si>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</si>
  <si>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</si>
  <si>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</si>
  <si>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</si>
  <si>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</si>
  <si>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</si>
  <si>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</si>
  <si>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</si>
  <si>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</si>
  <si>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</si>
  <si>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</si>
  <si>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</si>
  <si>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</si>
  <si>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</si>
  <si>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</si>
  <si>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</si>
  <si>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</si>
  <si>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</si>
  <si>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</si>
  <si>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</si>
  <si>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</si>
  <si>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</si>
  <si>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</si>
  <si>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</si>
  <si>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</si>
  <si>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</si>
  <si>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</si>
  <si>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</si>
  <si>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</si>
  <si>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</si>
  <si>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</si>
  <si>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BUILD DATE</t>
  </si>
  <si>
    <t>BUILT BY</t>
  </si>
  <si>
    <t>TEST DATE</t>
  </si>
  <si>
    <t>TESTED BY</t>
  </si>
  <si>
    <t>BARTEC VODEC SERIAL NUMBER</t>
  </si>
  <si>
    <t>SUB-CONTRACTOR SERIAL NUMBER</t>
  </si>
  <si>
    <t>MODEL</t>
  </si>
  <si>
    <t>DH</t>
  </si>
  <si>
    <t>RN47751/0713/AB</t>
  </si>
  <si>
    <t>RS</t>
  </si>
  <si>
    <t>TL/A2839/23/1112/AB
TL/A2839/04/1112/AB</t>
  </si>
  <si>
    <t>RN47773/0713/AB</t>
  </si>
  <si>
    <t>RN47768/0713/AB</t>
  </si>
  <si>
    <t>RN47769/0713/AB</t>
  </si>
  <si>
    <t>RN47756/0713/AB</t>
  </si>
  <si>
    <t>RN47752/0713/AB</t>
  </si>
  <si>
    <t>RN47771/0713/AB</t>
  </si>
  <si>
    <t>RN47749/0713/AB</t>
  </si>
  <si>
    <t>RN47755/0713/AB</t>
  </si>
  <si>
    <t>RN47770/0713/AB</t>
  </si>
  <si>
    <t>RN47753/0713/AB</t>
  </si>
  <si>
    <t>RN47772/0713/AB</t>
  </si>
  <si>
    <t>RN48022/0713/AB</t>
  </si>
  <si>
    <t>RN47761/0713/AB</t>
  </si>
  <si>
    <t>RN47763/0713/AB</t>
  </si>
  <si>
    <t>RN47748/0713/AB</t>
  </si>
  <si>
    <t>RN47765/0713/AB</t>
  </si>
  <si>
    <t>RN47767/0713/AB</t>
  </si>
  <si>
    <t>VAP01-24</t>
  </si>
  <si>
    <t>DN</t>
  </si>
  <si>
    <t>SUKIE</t>
  </si>
  <si>
    <t>JPD</t>
  </si>
  <si>
    <t>GW</t>
  </si>
  <si>
    <t>RF</t>
  </si>
  <si>
    <t>RN48306/0713/AB</t>
  </si>
  <si>
    <t>RN48294/0713/AB</t>
  </si>
  <si>
    <t>RN48281/0713/AB</t>
  </si>
  <si>
    <t>RN48267/0713/AB</t>
  </si>
  <si>
    <t>RN48296/0713/AB</t>
  </si>
  <si>
    <t>RN/48307/0713/AB</t>
  </si>
  <si>
    <t>RN48298/0713/AB</t>
  </si>
  <si>
    <t>RN48282/0713/AB</t>
  </si>
  <si>
    <t>RN48286/0713/AB</t>
  </si>
  <si>
    <t>RN48305/0713/AB</t>
  </si>
  <si>
    <t>RN48290/0713/AB</t>
  </si>
  <si>
    <t>RN47747/0713/AB</t>
  </si>
  <si>
    <t>RN48278/0713/AB</t>
  </si>
  <si>
    <t>TL/A2839/29/1112/AB</t>
  </si>
  <si>
    <t>RN48018/0713/AB</t>
  </si>
  <si>
    <t>RN48277/0713/AB</t>
  </si>
  <si>
    <t>RN48275/0713/AB</t>
  </si>
  <si>
    <t>RN48287/0713/AB</t>
  </si>
  <si>
    <t>RN48293/0713/AB</t>
  </si>
  <si>
    <t>COMMENTS</t>
  </si>
  <si>
    <t>RN48265/0713/AB</t>
  </si>
  <si>
    <t>RN48309/0713/AB</t>
  </si>
  <si>
    <t>RN48299/0713/AB</t>
  </si>
  <si>
    <t>RN48280/0713/AB</t>
  </si>
  <si>
    <t>RN48273/0713/AB</t>
  </si>
  <si>
    <t>RN48270/0713/AB</t>
  </si>
  <si>
    <t>RN48025/0713/AB</t>
  </si>
  <si>
    <t>RN48027/0713/AB</t>
  </si>
  <si>
    <t>RN48264/0713/AB</t>
  </si>
  <si>
    <t>RN48263/0713/AB</t>
  </si>
  <si>
    <t>RN48271/0713/AB</t>
  </si>
  <si>
    <t>RN48284/0713/AB</t>
  </si>
  <si>
    <t>RN48304/0713/AB</t>
  </si>
  <si>
    <t>RN48279/0713/AB</t>
  </si>
  <si>
    <t>RN48291/0713/AB</t>
  </si>
  <si>
    <t>RN48292/0713/AB</t>
  </si>
  <si>
    <t>RN48266/0713/AB</t>
  </si>
  <si>
    <t>RN48276/0713/AB</t>
  </si>
  <si>
    <t>RN48300/0713/AB</t>
  </si>
  <si>
    <t>RN48288/0713/AB</t>
  </si>
  <si>
    <t>TL/A2567/16/0712/AA</t>
  </si>
  <si>
    <t>RN49297/0913/AB</t>
  </si>
  <si>
    <t>RN48283/0713/AB</t>
  </si>
  <si>
    <t>RN48310/0713/AB</t>
  </si>
  <si>
    <t>RN48295/0713/AB</t>
  </si>
  <si>
    <t>RN48014/0713/AB</t>
  </si>
  <si>
    <t>RN48024/0713/AB</t>
  </si>
  <si>
    <t>RN49480/1013/AB</t>
  </si>
  <si>
    <t>RN49510/1013/AB</t>
  </si>
  <si>
    <t>RN49473/1013/AB</t>
  </si>
  <si>
    <t>RN49485/1013/AB</t>
  </si>
  <si>
    <t>RN49482/1013/AB</t>
  </si>
  <si>
    <t>RN49497/1013/AB</t>
  </si>
  <si>
    <t>RN48262/0713/AB</t>
  </si>
  <si>
    <t>RN49486/1013/AB</t>
  </si>
  <si>
    <t>RN49513/1013/AB</t>
  </si>
  <si>
    <t>RN49491/1013/AB</t>
  </si>
  <si>
    <t>RN49500/1013/AB</t>
  </si>
  <si>
    <t>RN49468/1013/AB</t>
  </si>
  <si>
    <t>RN48302/0713/AB</t>
  </si>
  <si>
    <t>RN48301/0713/AB</t>
  </si>
  <si>
    <t>?</t>
  </si>
  <si>
    <t>7704-02</t>
  </si>
  <si>
    <t>8130-03</t>
  </si>
  <si>
    <t>GJM</t>
  </si>
  <si>
    <t>RA</t>
  </si>
  <si>
    <t>EX PRODUCT TRACE</t>
  </si>
  <si>
    <t>Incorrect WO number recorded</t>
  </si>
  <si>
    <t>Changed for Safe Area</t>
  </si>
  <si>
    <t>RN49487/1013/AB</t>
  </si>
  <si>
    <t>RN47759/0713/AB</t>
  </si>
  <si>
    <t>RN47775/0713/AB</t>
  </si>
  <si>
    <t>RN47766/0713/AB</t>
  </si>
  <si>
    <t>RN47758/0713/AB</t>
  </si>
  <si>
    <t>RN47762/0713/AB</t>
  </si>
  <si>
    <t>RN47774/0713/AB</t>
  </si>
  <si>
    <t>RN47750/0713/AB</t>
  </si>
  <si>
    <t>RN47754/0713/AB</t>
  </si>
  <si>
    <t>RN47760/0713/AB</t>
  </si>
  <si>
    <t>RN47764/0713/AB</t>
  </si>
  <si>
    <t>RN47414/0613/AB
RN47403/0613/AB</t>
  </si>
  <si>
    <t>RN47396/0613/AB
RN47401/0613/AB</t>
  </si>
  <si>
    <t>DE</t>
  </si>
  <si>
    <t>RN50439/1113/AB
RN50435/1113/AB</t>
  </si>
  <si>
    <t>PCB Serial number not recorded</t>
  </si>
  <si>
    <t>RN49476/1013/AB</t>
  </si>
  <si>
    <t>RN49483/1013/AB</t>
  </si>
  <si>
    <t>RN49498/1013/AB</t>
  </si>
  <si>
    <t>RN50445/1113/AB
RN50455/1113/AB</t>
  </si>
  <si>
    <t>RN49467/1013/AB</t>
  </si>
  <si>
    <t>RN49470/1013/AB</t>
  </si>
  <si>
    <t>RN49479/1013/AB</t>
  </si>
  <si>
    <t>RN50479/1113/AB</t>
  </si>
  <si>
    <t>RN50493/1113/AB</t>
  </si>
  <si>
    <t>RN50482/1113/AB</t>
  </si>
  <si>
    <t>AN</t>
  </si>
  <si>
    <t>RN49492/1013/AB</t>
  </si>
  <si>
    <t>RN50488/1113/AB</t>
  </si>
  <si>
    <t>RN50492/1113/AB</t>
  </si>
  <si>
    <t>RN50494/1113/AB</t>
  </si>
  <si>
    <t>VAP01-12G</t>
  </si>
  <si>
    <t>RN49505/1013/AB</t>
  </si>
  <si>
    <t>RN49469/1013/AB</t>
  </si>
  <si>
    <t>RN51479/0114/AB</t>
  </si>
  <si>
    <t>RN51643/0114/AB</t>
  </si>
  <si>
    <t>RN49496/1013/AB</t>
  </si>
  <si>
    <t>RN49494/1013/AB</t>
  </si>
  <si>
    <t>RN49465/1013/AB</t>
  </si>
  <si>
    <t>RN49478/1013/AB</t>
  </si>
  <si>
    <t>RN50483/1113/AB</t>
  </si>
  <si>
    <t>RN50480/1113/AB</t>
  </si>
  <si>
    <t>RN50477/1113/AB</t>
  </si>
  <si>
    <t>RN50487/1113/AB</t>
  </si>
  <si>
    <t>RN50476/1113/AB</t>
  </si>
  <si>
    <t>RN51466/0114/AB</t>
  </si>
  <si>
    <t>RN50478/1113/AB</t>
  </si>
  <si>
    <t>RN49489/1013/AB</t>
  </si>
  <si>
    <t>RN50484/1113/AB</t>
  </si>
  <si>
    <t>RN49466/1013/AB</t>
  </si>
  <si>
    <t>RN49514/1013/AB</t>
  </si>
  <si>
    <t>RN50486/1013/AB</t>
  </si>
  <si>
    <t>RN51649/0114/AB
RN51481/0114/AB</t>
  </si>
  <si>
    <t>RN51471/0114/AB</t>
  </si>
  <si>
    <t>RN51639/0114/AB</t>
  </si>
  <si>
    <t>RN51648/0114/AB</t>
  </si>
  <si>
    <t>RN49472/1013/AB</t>
  </si>
  <si>
    <t>RN49474/1013/AB</t>
  </si>
  <si>
    <t>RN50495/1113/AB</t>
  </si>
  <si>
    <t>8349-01</t>
  </si>
  <si>
    <t>7229-11</t>
  </si>
  <si>
    <t>8166-02</t>
  </si>
  <si>
    <t>AK</t>
  </si>
  <si>
    <t>TL/A2839/34/1112/AB</t>
  </si>
  <si>
    <t>RN48268/0713/AB</t>
  </si>
  <si>
    <t>RN48274/0713/AB</t>
  </si>
  <si>
    <t>8166-03</t>
  </si>
  <si>
    <t>RN38269/0713/AB</t>
  </si>
  <si>
    <t>DN/SJ</t>
  </si>
  <si>
    <t>Sukie</t>
  </si>
  <si>
    <t>8100-16</t>
  </si>
  <si>
    <t>RN49490/1013/AB</t>
  </si>
  <si>
    <t>RN49493/1013/AB</t>
  </si>
  <si>
    <t>RN49471/1013/AB</t>
  </si>
  <si>
    <t>RN49508/1013/AB</t>
  </si>
  <si>
    <t>RN49507/1013/AB</t>
  </si>
  <si>
    <t>RN49501/1013/AB</t>
  </si>
  <si>
    <t>RN49512/1013/AB</t>
  </si>
  <si>
    <t>RN49503/1013/AB</t>
  </si>
  <si>
    <t>RN50490/1013/AB</t>
  </si>
  <si>
    <t>RN49495/1013/AB</t>
  </si>
  <si>
    <t>RN49506/1013/AB</t>
  </si>
  <si>
    <t>8202-04</t>
  </si>
  <si>
    <t>RN54413/0514/AB</t>
  </si>
  <si>
    <t>RN54400/0514/AB</t>
  </si>
  <si>
    <t>7182-11</t>
  </si>
  <si>
    <t>RN/54402/0514/AB
RN/54430/0514/AB</t>
  </si>
  <si>
    <t>RN/48020/0713/AB
RN/54395/0514/AB</t>
  </si>
  <si>
    <t>7479-14</t>
  </si>
  <si>
    <t>8100-17</t>
  </si>
  <si>
    <t>RN/54693/0614/AB</t>
  </si>
  <si>
    <t>8157-11</t>
  </si>
  <si>
    <t>RN/54687/0614/AB</t>
  </si>
  <si>
    <t>GK</t>
  </si>
  <si>
    <t>RN50481/1113/AB</t>
  </si>
  <si>
    <t>RN50489/1113/AB</t>
  </si>
  <si>
    <t>RN54683/0614/AB</t>
  </si>
  <si>
    <t>RN54434/0514/AB
RN54439/0514/AB</t>
  </si>
  <si>
    <t>RN54394/0514/AB
RN54438/0514/AB</t>
  </si>
  <si>
    <t>RN/54698/0614/AB</t>
  </si>
  <si>
    <t>RN/54681/0614/AB</t>
  </si>
  <si>
    <t>RN/54701/0614/AB</t>
  </si>
  <si>
    <t>RN54436/0514/AB
RN54399/0514/AB</t>
  </si>
  <si>
    <t>RN/54705/0614/AB</t>
  </si>
  <si>
    <t>7692-03</t>
  </si>
  <si>
    <t>SJ</t>
  </si>
  <si>
    <t>8260-01</t>
  </si>
  <si>
    <t>RN/54703/0614/AB</t>
  </si>
  <si>
    <t>RN/54682/0614/AB</t>
  </si>
  <si>
    <t>RN/54707/0614/AB</t>
  </si>
  <si>
    <t>7401-07</t>
  </si>
  <si>
    <t>8075-08</t>
  </si>
  <si>
    <t>RN57166/0814/AB
RN57179/0814/AB</t>
  </si>
  <si>
    <t>RN/50489/1113/AB</t>
  </si>
  <si>
    <t>PM</t>
  </si>
  <si>
    <t>RN/54685/0614/AB</t>
  </si>
  <si>
    <t>RN/51700/0614/AB</t>
  </si>
  <si>
    <t>RN/54699/0614/AB</t>
  </si>
  <si>
    <t>RN/54678/0614/AB</t>
  </si>
  <si>
    <t>RN/50485/1113/AB</t>
  </si>
  <si>
    <t>GM</t>
  </si>
  <si>
    <t>RN/50491/1113/AB</t>
  </si>
  <si>
    <t>Replaced by enclosure 1161</t>
  </si>
  <si>
    <t>RN/54694/0614/AB</t>
  </si>
  <si>
    <t>RN/54697/0614/AB</t>
  </si>
  <si>
    <t>RN/54689/0614/AB</t>
  </si>
  <si>
    <t>Cancelled</t>
  </si>
  <si>
    <t>Not Allocated</t>
  </si>
  <si>
    <t>8232-02</t>
  </si>
  <si>
    <t>8231-04</t>
  </si>
  <si>
    <t>RN/57621/0914/AB</t>
  </si>
  <si>
    <t>RN57625/0914/AB</t>
  </si>
  <si>
    <t>RN54397/0514/AB
RN50426/1113/AB</t>
  </si>
  <si>
    <t>RN/57196/0814/AB</t>
  </si>
  <si>
    <t>RN/57204/0814/AB</t>
  </si>
  <si>
    <t>RN54704/0614/AB</t>
  </si>
  <si>
    <t>RN/57594/0914/AB</t>
  </si>
  <si>
    <t>RN/57635/0914/AB</t>
  </si>
  <si>
    <t>RN/57637/0914/AB</t>
  </si>
  <si>
    <t>7322-09</t>
  </si>
  <si>
    <t>RN57615/0914/AB</t>
  </si>
  <si>
    <t>RN57612/0914/AB</t>
  </si>
  <si>
    <t>RN57624/0914/AB</t>
  </si>
  <si>
    <t>RN57601/0914/AB</t>
  </si>
  <si>
    <t>8231-05</t>
  </si>
  <si>
    <t>RN58662/1014/AB</t>
  </si>
  <si>
    <t>RN58675/1014/AB</t>
  </si>
  <si>
    <t>RN57618/0914/AB</t>
  </si>
  <si>
    <t>RN57609/0914/AB</t>
  </si>
  <si>
    <t>RN57596/0914/AB</t>
  </si>
  <si>
    <t>RN54680/0914/AB</t>
  </si>
  <si>
    <t>WPS72244-0018
WPS72244-0022</t>
  </si>
  <si>
    <t>WPS72244-0023
WPS72244-0014</t>
  </si>
  <si>
    <t>WPS80567-0003
WPS72244-0008</t>
  </si>
  <si>
    <t>WPS80567-0019
533189-0108</t>
  </si>
  <si>
    <t>WPS80567-0013
WPS72244-0012</t>
  </si>
  <si>
    <t>WPS80567-0005
WPS80567-0016</t>
  </si>
  <si>
    <t>RN58681/1014/AB</t>
  </si>
  <si>
    <t>RN58670/1014/AB
RN58673/1014/AB</t>
  </si>
  <si>
    <t>PSM</t>
  </si>
  <si>
    <t>8247-05</t>
  </si>
  <si>
    <t>RN50452/1113/AB
RN51470/0114/AB</t>
  </si>
  <si>
    <t>RN57597/0914/AB</t>
  </si>
  <si>
    <t>RN57616/0914/AB</t>
  </si>
  <si>
    <t>RN57604/0914/AB</t>
  </si>
  <si>
    <t>RN57631/0914/AB</t>
  </si>
  <si>
    <t>RN57638/0914/AB</t>
  </si>
  <si>
    <t>RN51638/0114/AB
RN58659/1014/AB</t>
  </si>
  <si>
    <t>RN57639/0914/AB</t>
  </si>
  <si>
    <t>RN48297/0713/AB</t>
  </si>
  <si>
    <t>RN57608/0914/AB</t>
  </si>
  <si>
    <t>RN57620/0914/AB</t>
  </si>
  <si>
    <t>RN57602/0914/AB</t>
  </si>
  <si>
    <t>RN57607/0914/AB</t>
  </si>
  <si>
    <t>RN49509/1013/AB</t>
  </si>
  <si>
    <t>RN48308/0713/AB</t>
  </si>
  <si>
    <t>RN48261/0713/AB</t>
  </si>
  <si>
    <t>RN49488/1013/AB</t>
  </si>
  <si>
    <t>RN48303/0713/AB</t>
  </si>
  <si>
    <t>RN49484/1013/AB</t>
  </si>
  <si>
    <t>RN57600/0914/AB</t>
  </si>
  <si>
    <t>RN49502/1013/AB</t>
  </si>
  <si>
    <t>RN57167/0814/AB</t>
  </si>
  <si>
    <t>7727-03</t>
  </si>
  <si>
    <t>VAP01-G22</t>
  </si>
  <si>
    <t>8307-01</t>
  </si>
  <si>
    <t>8307-02</t>
  </si>
  <si>
    <t>RN57605/0914/AB</t>
  </si>
  <si>
    <t>RN58633/1014/AB</t>
  </si>
  <si>
    <t>RN57628/0914/AB</t>
  </si>
  <si>
    <t>RN57593/0914/AB</t>
  </si>
  <si>
    <t>7330-08</t>
  </si>
  <si>
    <t>RN58669/1014/AB</t>
  </si>
  <si>
    <t>RN57640/0914/AB</t>
  </si>
  <si>
    <t>RN57626/0914/AB</t>
  </si>
  <si>
    <t>RN57610/0914/AB</t>
  </si>
  <si>
    <t>RN54679/0914/AB</t>
  </si>
  <si>
    <t>8233-02</t>
  </si>
  <si>
    <t>7693-10</t>
  </si>
  <si>
    <t>VAP30-06-E21</t>
  </si>
  <si>
    <t>8113-04</t>
  </si>
  <si>
    <t>8247-07</t>
  </si>
  <si>
    <t>8444-03</t>
  </si>
  <si>
    <t>RN57606/0914/AB</t>
  </si>
  <si>
    <t>RN57629/0914/AB</t>
  </si>
  <si>
    <t>RN57627/0914/AB</t>
  </si>
  <si>
    <t>RN51650/0114/AB
RN48009/0713/AB</t>
  </si>
  <si>
    <t>RN51640/0114/AB
RN51477/0114/AB</t>
  </si>
  <si>
    <t>RN57641/0914/AB</t>
  </si>
  <si>
    <t>RN57632/0914/AB</t>
  </si>
  <si>
    <t>RN54692/0914/AB</t>
  </si>
  <si>
    <t>RN57611/0914/AB</t>
  </si>
  <si>
    <t>RN57630/0914/AB</t>
  </si>
  <si>
    <t>RN57599/0914/AB</t>
  </si>
  <si>
    <t>RN54696/0914/AB</t>
  </si>
  <si>
    <t>RN57598/0914/AB</t>
  </si>
  <si>
    <t>RN57595/0914/AB</t>
  </si>
  <si>
    <t>RN57642/0914/AB</t>
  </si>
  <si>
    <t>RN57622/0914/AB</t>
  </si>
  <si>
    <t>RN90675/0115/AB</t>
  </si>
  <si>
    <t>RN90676/0115/AB</t>
  </si>
  <si>
    <t>RN90660/0115/AB</t>
  </si>
  <si>
    <t>RN57603/0914/AB</t>
  </si>
  <si>
    <t>RN90687/0115/AB</t>
  </si>
  <si>
    <t>RN90683/0115/AB</t>
  </si>
  <si>
    <t>RN90663/0115/AB</t>
  </si>
  <si>
    <t>RN90670/0115/AB</t>
  </si>
  <si>
    <r>
      <t>VAP01-</t>
    </r>
    <r>
      <rPr>
        <sz val="10"/>
        <color indexed="10"/>
        <rFont val="Arial"/>
        <family val="2"/>
      </rPr>
      <t>??</t>
    </r>
  </si>
  <si>
    <t>NB</t>
  </si>
  <si>
    <t>RN50427/1113/AB
RN50454/1113/AB</t>
  </si>
  <si>
    <t>RN57623/0914/AB</t>
  </si>
  <si>
    <t>RN49293/0913/AB
RN58671/1014/AB</t>
  </si>
  <si>
    <t>VAP100E</t>
  </si>
  <si>
    <t>RN90482/0115/AD
RN90487/0115/AD</t>
  </si>
  <si>
    <t>RN90503/0115/AD
RN90504/0115AD</t>
  </si>
  <si>
    <t>RN90508/0115/AD
RN90518/0115/AD</t>
  </si>
  <si>
    <t>RN90526/0115/AD
RN90536/0115/AD</t>
  </si>
  <si>
    <t>RN53962/0115/AD
RN90515/0115/AD</t>
  </si>
  <si>
    <t>RN90497/0115/AD
RN90510/0115/AD</t>
  </si>
  <si>
    <t>RN90530/0115/AD
RN90539/0115/AD</t>
  </si>
  <si>
    <t>RN90496/0115/AD
RN90512/0115/AD</t>
  </si>
  <si>
    <t>RN90506/0115/AD
RN90541/0115/AD</t>
  </si>
  <si>
    <t>RN54432/0514/AB
RN54435/0514/AB</t>
  </si>
  <si>
    <t>RN/54695/0614/AB</t>
  </si>
  <si>
    <t>RN/54691/0614/AB</t>
  </si>
  <si>
    <t>RN/48289/0713/AB</t>
  </si>
  <si>
    <t>RN57619/0914/AB</t>
  </si>
  <si>
    <t>RN50446/1113/AB
RN57188/0814/AB</t>
  </si>
  <si>
    <t>RN57187/0814/AB
RN51464/0114/AB</t>
  </si>
  <si>
    <t>Changed for VAP100E Safe Area</t>
  </si>
  <si>
    <t>RN48285/0713/AB</t>
  </si>
  <si>
    <t>7298-16</t>
  </si>
  <si>
    <t>RMA1240</t>
  </si>
  <si>
    <t>RN90680/0115/AB</t>
  </si>
  <si>
    <t>8247-08</t>
  </si>
  <si>
    <t>RN53455/0314/AB</t>
  </si>
  <si>
    <t>RN90673/0115/AB</t>
  </si>
  <si>
    <t>RN90681/0115/AB</t>
  </si>
  <si>
    <t>7780-04</t>
  </si>
  <si>
    <t>RN57171/0814/AB</t>
  </si>
  <si>
    <t>RN90682/0115/AB</t>
  </si>
  <si>
    <t>RN90677/0115/AB</t>
  </si>
  <si>
    <t>RN57613/0914/AB</t>
  </si>
  <si>
    <t>7298-17</t>
  </si>
  <si>
    <t>RN/57160/0814/AB</t>
  </si>
  <si>
    <t>RN/90664/0115/AB</t>
  </si>
  <si>
    <t>RN49481/1013/AB</t>
  </si>
  <si>
    <t>RN57617/0914/AB</t>
  </si>
  <si>
    <t>RN/48272/0713/AB</t>
  </si>
  <si>
    <t>8318-06</t>
  </si>
  <si>
    <t>Stock</t>
  </si>
  <si>
    <t>In Test</t>
  </si>
  <si>
    <t>RN53451/0314/AB
RN50433/1113/AB</t>
  </si>
  <si>
    <t>RN54125/0514/AB</t>
  </si>
  <si>
    <t>RN/57181/0814/AB
RN/57210/0814/AB</t>
  </si>
  <si>
    <t>RN57636/0914/AB</t>
  </si>
  <si>
    <t>7133-02</t>
  </si>
  <si>
    <t>7298-15</t>
  </si>
  <si>
    <t>RN53466/0314/AB</t>
  </si>
  <si>
    <t>RN/57633/0914/AB</t>
  </si>
  <si>
    <t>RN90679/0115/AB</t>
  </si>
  <si>
    <t>RN/90665/0115/AB</t>
  </si>
  <si>
    <t>7704-05</t>
  </si>
  <si>
    <t>RN95543/0815/AB</t>
  </si>
  <si>
    <t>8283-05</t>
  </si>
  <si>
    <t>RN95551/0815/AB</t>
  </si>
  <si>
    <t>RN95545/0815/AB</t>
  </si>
  <si>
    <t>7133-06</t>
  </si>
  <si>
    <t>DN/NB</t>
  </si>
  <si>
    <t>RN95549/0815/AB</t>
  </si>
  <si>
    <t>RN95540/0815/AB</t>
  </si>
  <si>
    <t>RN95548/0815/AB</t>
  </si>
  <si>
    <t>RN90665/0115/AB</t>
  </si>
  <si>
    <t>RN51631/0114/AB</t>
  </si>
  <si>
    <t>RN59140/1114/AB
RN59142/1114/AB</t>
  </si>
  <si>
    <t>RN59145/1114/AB
RN55150/1114/AB</t>
  </si>
  <si>
    <t>8318-04</t>
  </si>
  <si>
    <r>
      <t>VAP30-E</t>
    </r>
    <r>
      <rPr>
        <sz val="10"/>
        <color indexed="10"/>
        <rFont val="Arial"/>
        <family val="2"/>
      </rPr>
      <t>??</t>
    </r>
  </si>
  <si>
    <t>RN91677/0215/AD
RN91664/0215/AD</t>
  </si>
  <si>
    <t>RN91656/0215/AD
RN91658/0215/AD</t>
  </si>
  <si>
    <r>
      <t>VAP30-06-E</t>
    </r>
    <r>
      <rPr>
        <sz val="10"/>
        <color indexed="10"/>
        <rFont val="Arial"/>
        <family val="2"/>
      </rPr>
      <t>??</t>
    </r>
  </si>
  <si>
    <t>RN90689/0115/AB</t>
  </si>
  <si>
    <t>RN90669/0115/AB</t>
  </si>
  <si>
    <t>RN90674/0115/AB</t>
  </si>
  <si>
    <t>RN53460/0314/AB</t>
  </si>
  <si>
    <t>8334-01</t>
  </si>
  <si>
    <t>RN/91685/0215/AD</t>
  </si>
  <si>
    <t>RN/91679/0215/AD</t>
  </si>
  <si>
    <t>VAP30-06 E22</t>
  </si>
  <si>
    <t>Membrane s.no. 832968</t>
  </si>
  <si>
    <t>8233-06</t>
  </si>
  <si>
    <t>RN/95557/0815/AB</t>
  </si>
  <si>
    <t>RN/49290/0913/AB</t>
  </si>
  <si>
    <t>Membrane s.no. A0529228</t>
  </si>
  <si>
    <t>VAP30-21</t>
  </si>
  <si>
    <t>RN/97232/0915/AB</t>
  </si>
  <si>
    <t>RN/97235/0915/AB</t>
  </si>
  <si>
    <t>RN/97240/0915/AB</t>
  </si>
  <si>
    <t>RN/97247/0915/AB</t>
  </si>
  <si>
    <t>RN/58687/1014/AB</t>
  </si>
  <si>
    <t>RN/57193/1014/AB</t>
  </si>
  <si>
    <t>7190-15</t>
  </si>
  <si>
    <t>VAP30-06 (A22)</t>
  </si>
  <si>
    <t>Membrane S.NO. 703270</t>
  </si>
  <si>
    <t>RN/57200/0814/AB</t>
  </si>
  <si>
    <t>RN/57208/0814/AB</t>
  </si>
  <si>
    <t>8002-29</t>
  </si>
  <si>
    <t>20.01.16</t>
  </si>
  <si>
    <t>Membrane S.NO. 915912</t>
  </si>
  <si>
    <t>RN/48019/0713/AB</t>
  </si>
  <si>
    <t>RN/53453/0314/AB</t>
  </si>
  <si>
    <t>Membrane S.NO. 915206</t>
  </si>
  <si>
    <t>RN/91654/0215/AD</t>
  </si>
  <si>
    <t>Bartec Vodec Purchase Order</t>
  </si>
  <si>
    <t>Component Serial Number</t>
  </si>
  <si>
    <t>Purchasing and Goods Inwards Inspection 
Circuit Board 07/05/001</t>
  </si>
  <si>
    <t>Ambient Temp</t>
  </si>
  <si>
    <t>Problems</t>
  </si>
  <si>
    <t>Delivery Received &amp; Filed</t>
  </si>
  <si>
    <t>PCB Serial Number</t>
  </si>
  <si>
    <t>Outwards Documentation</t>
  </si>
  <si>
    <t>Goods Inwards Wellglass</t>
  </si>
  <si>
    <t>Goods Inwards Castings</t>
  </si>
  <si>
    <t>QAI0003</t>
  </si>
  <si>
    <t>Exd Preparation  07/01/101</t>
  </si>
  <si>
    <t>TP0066</t>
  </si>
  <si>
    <t>Wellglass Serial Number</t>
  </si>
  <si>
    <t>Sales Office</t>
  </si>
  <si>
    <t>Stycast Batch Part 1 Serial Number</t>
  </si>
  <si>
    <t>Stycast Batch Part 1 Date</t>
  </si>
  <si>
    <t>Stycast Batch Part 2 Serial Number</t>
  </si>
  <si>
    <t>Stycast Batch Part 2 Date</t>
  </si>
  <si>
    <t>Castings Serial Number</t>
  </si>
  <si>
    <t>Preassembly ID</t>
  </si>
  <si>
    <t>Internal ID</t>
  </si>
  <si>
    <t>VB3 Assembly ID</t>
  </si>
  <si>
    <t>QAI0004</t>
  </si>
  <si>
    <t>VB3 Generic Assembly
(Build Instruction 17)</t>
  </si>
  <si>
    <t>QAI0005</t>
  </si>
  <si>
    <t>Destination Configuration
(Build Instruction 26)</t>
  </si>
  <si>
    <t>Exd Preassembly (Build Instruction 16)</t>
  </si>
  <si>
    <t>Torquing Up</t>
  </si>
  <si>
    <t>Assigned</t>
  </si>
  <si>
    <t>QAI0002</t>
  </si>
  <si>
    <t>Availability List</t>
  </si>
  <si>
    <t>QAI0001</t>
  </si>
  <si>
    <t>PASS</t>
  </si>
  <si>
    <t>FAIL</t>
  </si>
  <si>
    <t>UNTESTED</t>
  </si>
  <si>
    <t>Availability</t>
  </si>
  <si>
    <t>TP0065 Result</t>
  </si>
  <si>
    <t>TP0065 Date</t>
  </si>
  <si>
    <t>TP0065 Operative</t>
  </si>
  <si>
    <t>TP0067</t>
  </si>
  <si>
    <t>TP0069</t>
  </si>
  <si>
    <t>TP0054</t>
  </si>
  <si>
    <t>VAP100A and VAP100E Goods Inwards</t>
  </si>
  <si>
    <t>Type</t>
  </si>
  <si>
    <t>Membrane Goods Inwards</t>
  </si>
  <si>
    <t>Date</t>
  </si>
  <si>
    <t>Sub-contractor SN</t>
  </si>
  <si>
    <t>QAI0006</t>
  </si>
  <si>
    <t>ID</t>
  </si>
  <si>
    <t>Membrane SN</t>
  </si>
  <si>
    <t>VAP100 SN 1</t>
  </si>
  <si>
    <t>VAP100 SN 2</t>
  </si>
  <si>
    <t>Availability VAP100A</t>
  </si>
  <si>
    <t>Availability VAP100E</t>
  </si>
  <si>
    <t>Availability VAP30</t>
  </si>
  <si>
    <t>Availability DX3MC16</t>
  </si>
  <si>
    <t>Destination</t>
  </si>
  <si>
    <t>Panel Type</t>
  </si>
  <si>
    <t>Availability VAP30 A1</t>
  </si>
  <si>
    <t>Availability VAP30 A2</t>
  </si>
  <si>
    <t>Availability VAP30 E1</t>
  </si>
  <si>
    <t>Availability VAP30 E2</t>
  </si>
  <si>
    <t>Access Panel Assembly (BI03 or BI18)</t>
  </si>
  <si>
    <t>QAI0008/9</t>
  </si>
  <si>
    <t>ATEX/IECEx?</t>
  </si>
  <si>
    <t>EX Area Paths (Edit with caution)</t>
  </si>
  <si>
    <t>Components</t>
  </si>
  <si>
    <t>Products</t>
  </si>
  <si>
    <t>Master</t>
  </si>
  <si>
    <t>Goods Inwards VAP100B</t>
  </si>
  <si>
    <t>QAI0010</t>
  </si>
  <si>
    <t>TP0041</t>
  </si>
  <si>
    <t>Serial Number</t>
  </si>
  <si>
    <t>QAI0011</t>
  </si>
  <si>
    <t>Availiability 11</t>
  </si>
  <si>
    <t>Availability 12</t>
  </si>
  <si>
    <t>Availability 13</t>
  </si>
  <si>
    <t>Availability 21</t>
  </si>
  <si>
    <t>Availability 22</t>
  </si>
  <si>
    <t>Availability 23</t>
  </si>
  <si>
    <t>Goods Inwards VAP01 Enclosure</t>
  </si>
  <si>
    <t>VAP100B SN</t>
  </si>
  <si>
    <t>TP0016</t>
  </si>
  <si>
    <t>Ex Type</t>
  </si>
  <si>
    <t>WO No</t>
  </si>
  <si>
    <t>Project</t>
  </si>
  <si>
    <t>VAP01 Destination</t>
  </si>
  <si>
    <t>Entry Date</t>
  </si>
  <si>
    <t>VAP01 ID</t>
  </si>
  <si>
    <t>Availability 11</t>
  </si>
  <si>
    <t>ID/SN</t>
  </si>
  <si>
    <t>JIOVJ</t>
  </si>
  <si>
    <t>JBKOJ</t>
  </si>
  <si>
    <t>OT-0</t>
  </si>
  <si>
    <t>JVD</t>
  </si>
  <si>
    <t>PSC Vodec Serial Number</t>
  </si>
  <si>
    <t>PSC Vodec Purchase Order Number</t>
  </si>
  <si>
    <t>PSC V SN</t>
  </si>
  <si>
    <t xml:space="preserve"> PSC Vodec Purchase Order Number</t>
  </si>
  <si>
    <t>VAP01 Assembly (BI07)</t>
  </si>
  <si>
    <t>Able to select "FAIL" on TP0054 before selecting anything for QAI0005</t>
  </si>
  <si>
    <t>Comments</t>
  </si>
  <si>
    <t>Rectified by using On Error Next error handler method</t>
  </si>
  <si>
    <t>Incomplete</t>
  </si>
  <si>
    <t xml:space="preserve">Certificate of conformity </t>
  </si>
  <si>
    <t>Destination section - "Outwards" documentation</t>
  </si>
  <si>
    <t>Unprotect sheet&gt;Select column&gt;Format cell&gt;select tickbox "Locked"</t>
  </si>
  <si>
    <t>Reinstated</t>
  </si>
  <si>
    <t>Unable to recreate the fault</t>
  </si>
  <si>
    <t>Rectified by formating cell as mentioned above (1)</t>
  </si>
  <si>
    <t>Had missing increment variable i.e. (maxid = maxid + 1) in sub add_vap01_asmb()</t>
  </si>
  <si>
    <t xml:space="preserve">Complete - Added isect in worksheet_selectionchange() </t>
  </si>
  <si>
    <t>Complete - Commented out the prompt</t>
  </si>
  <si>
    <t>V01</t>
  </si>
  <si>
    <t>Rectified - Unprotect sheet, Click on yellow warning in assigned column and restore calculation</t>
  </si>
  <si>
    <t>V02</t>
  </si>
  <si>
    <t>Rectified - Using IF(Countif(And))) conditional statements and by Locking the cells in vba</t>
  </si>
  <si>
    <t>It was possible to edit all the ‘Availability’ columns in the Assembly table, they need to be protected</t>
  </si>
  <si>
    <t>I added 3 assemblies in 1 operation, they were each assigned the same ID (VA0002), the ID should increment for each new assembly</t>
  </si>
  <si>
    <t>In the destination table it was possible to change the VAP01 ID (i.e., unselect and select a different assembly), there should be a point at which this becomes locked – e.g., once outwards documentation is logged</t>
  </si>
  <si>
    <t>Workbook appears to have locked up adding an assembly to a new destination – blue circle, check for infinite loop in code – it seems to have filled out many many rows of destinations… and it’s autosaving for each row.</t>
  </si>
  <si>
    <t>Autosaving does not appear to be saving the root document, it is just creating a back-up, it needs to save the root document too</t>
  </si>
  <si>
    <t>Membrane Goods Inwards table, I was able to edit BV PO No and Sub-contractor SN column contents, the data in these columns needs to be protected</t>
  </si>
  <si>
    <t>You have hidden ‘availability’ and ‘assigned’ columns from VAP100A/E Goods Inwards table, which is fine, but you have not done the same with Membrane Goods Inwards table.</t>
  </si>
  <si>
    <t>I created VAP30 membranes with SN 30-1, 30-2, 30-3.  When I select these serial numbers in the Assembly table they are reformatted as dates…</t>
  </si>
  <si>
    <t>In the Assembly table it was possible to assign membrane panels to more than 1 assembly</t>
  </si>
  <si>
    <t>In the Assembly table it was possible to assign VAP100 transceivers to more than 1 assembly, and twice to the same assembly</t>
  </si>
  <si>
    <t>In the Assembly table it was possible to assign NA to the second transceiver of a VAP30 E2/A2 type – this is not valid</t>
  </si>
  <si>
    <t>Adding an entry to the Destination table I had a message box ‘Empty Sheet do you want to continue?” – I don’t understand the purpose</t>
  </si>
  <si>
    <t>It was not possible to add a despatch date to the Destination table – column locked, or to any other columns in destination table after an assembly ID  (e.g., AP0003) had been assigned</t>
  </si>
  <si>
    <t>Complete - "Thisworkbook.save"</t>
  </si>
  <si>
    <t>Complete - Added isect in worksheet_selectionchange()  - line no 667</t>
  </si>
  <si>
    <t>Complete - Added isect in worksheet_selectionchange() - line no 420</t>
  </si>
  <si>
    <t xml:space="preserve">Formatting issue in Destination Table </t>
  </si>
  <si>
    <t>Ongoing</t>
  </si>
  <si>
    <t>On column I "Availability VAP100A" it is possible to manually edit content from a drop down list (moderate issue)</t>
  </si>
  <si>
    <t>On column F it is possible to enter an invalid date - there is no date validation on entry or when updating QAI and TP columns (minor issue)</t>
  </si>
  <si>
    <t>On Column R it is possible to manually enter data</t>
  </si>
  <si>
    <t>Column U, it is possible to enter an invalid date, it gets formatted to 1/0/1900 (minor)</t>
  </si>
  <si>
    <t>Column W &amp; X, it is possible to enter the same SN into 2 different rows :-( - this seems to manifest when there are insufficient VAP100A/E available for the number of access panel assemblies in the table</t>
  </si>
  <si>
    <t>Column Y it was possible to enter NA for a VAP30 A2, this is not a valid option, it appears to be offered when there are no VAP100A/E available</t>
  </si>
  <si>
    <t>Column AC AD AE it was possible to manually type in data</t>
  </si>
  <si>
    <t>When component folder is created blank personalised TP and QAI documents are created in the folder</t>
  </si>
  <si>
    <t xml:space="preserve">Format &gt; Protection &gt; Lock </t>
  </si>
  <si>
    <t>DataValidation - Above 1/1/2000 is acceptable date</t>
  </si>
  <si>
    <t>if isdate() check is added. User has to enter a valid date or program will exit the sub routine</t>
  </si>
  <si>
    <t>added ValidationlistAnomaly() subroutine - goes to another cell and returns to activecell</t>
  </si>
  <si>
    <t>same as above</t>
  </si>
  <si>
    <t>V03</t>
  </si>
  <si>
    <t xml:space="preserve">Adding DX3MC16 to the access panel table, although I have 2 DX3MC16 membranes available no membranes are offered in column W.  </t>
  </si>
  <si>
    <t>V03.1</t>
  </si>
  <si>
    <t>Colum B and L (Purchase order numbers) can be left empty in pop up window</t>
  </si>
  <si>
    <t>PSC PO No</t>
  </si>
  <si>
    <t xml:space="preserve">BV PO No name changed to PSC PO No in column L </t>
  </si>
  <si>
    <t>Edited by unprotecting the sheet</t>
  </si>
  <si>
    <t>Added a Do while conditional loop</t>
  </si>
  <si>
    <t>Colum B (Purchase order numbers) can be left empty in pop up window</t>
  </si>
  <si>
    <t>Incomplete - Cannot create if,or conditional statement to check whether offset cells are emtpy</t>
  </si>
  <si>
    <t xml:space="preserve">Item can be failed by selecting "N/A" in Assembly table </t>
  </si>
  <si>
    <t>Add TP0095 next to column Q (QAI0006) in membrane goods inwards</t>
  </si>
  <si>
    <t>Rename TP0095 to TP0096 in assembly table</t>
  </si>
  <si>
    <t>TP0095</t>
  </si>
  <si>
    <t>TP0094/96</t>
  </si>
  <si>
    <t>Scan documents to associated folder</t>
  </si>
  <si>
    <t>V05</t>
  </si>
  <si>
    <t xml:space="preserve">Unprotect sheet, Insert new column, change conditional formulas in cell </t>
  </si>
  <si>
    <t xml:space="preserve">Unprotect sheet and rename </t>
  </si>
  <si>
    <t xml:space="preserve">Availability issue - was recitified using if conditional formula in the cell </t>
  </si>
  <si>
    <t>V04</t>
  </si>
  <si>
    <t>Username subfolder</t>
  </si>
  <si>
    <t>Application.username function has been removed</t>
  </si>
  <si>
    <t>V04.1</t>
  </si>
  <si>
    <t>Column K - entering date in prompt window "date of entry like 12/234"</t>
  </si>
  <si>
    <t>isdate() does not work - implemented regular expression regEx</t>
  </si>
  <si>
    <t>V04.2</t>
  </si>
  <si>
    <t>added a 0 in the first row</t>
  </si>
  <si>
    <t>Destination table increment does leave first row blank</t>
  </si>
  <si>
    <t>V04.3</t>
  </si>
  <si>
    <t>Reference library - createobject() aka early and late binding</t>
  </si>
  <si>
    <t>109196</t>
  </si>
  <si>
    <t>RN/519211/1219/AD</t>
  </si>
  <si>
    <t>RN/519225/1219/AD</t>
  </si>
  <si>
    <t>RN/519209/1219/AD</t>
  </si>
  <si>
    <t>RN/519210/1219/AD</t>
  </si>
  <si>
    <t>RN/519223/1219/AD</t>
  </si>
  <si>
    <t>QZ/834104/1119/AB</t>
  </si>
  <si>
    <t>Resolved - using StrPtr(), if 'X' is clicked the program exit the loop after deleting new row entries</t>
  </si>
  <si>
    <t>V04.4</t>
  </si>
  <si>
    <t>Need a way to exit a process half way, such as when entering 50 new VAP100 PCBs, exit after just 10. (AJ investigate)</t>
  </si>
  <si>
    <t>Where to store batch documentation (e.g., supplier CoCs etc) probably in the root of specific component folder.  Needs to be a check point in audits.  Consider adding a link in the log to the supplier CoC. (AJ investigate)</t>
  </si>
  <si>
    <t>NCR column in destination table is irrelevant, it needs to be in the goods inwards tables - future feature (AJ to remove - look at adding NCR columns to goods inwards)</t>
  </si>
  <si>
    <t>Resolved - using regEx as function for PONs</t>
  </si>
  <si>
    <t>Validation list appears whilst selecting certain cells (UNTESTED, PASS,FAIL) although it restrict any entries, it could be misleading</t>
  </si>
  <si>
    <t>Resolved by &gt;Unprotect &gt;Datavalidation &gt; Select ANY from the dropdown list</t>
  </si>
  <si>
    <t xml:space="preserve">Issue deleting entire row in Membrane listobject table - Will not completely delete the row - leaving yellow interior colour </t>
  </si>
  <si>
    <t>QZ/834112/1119/AB</t>
  </si>
  <si>
    <t>VA0001</t>
  </si>
  <si>
    <t>0289</t>
  </si>
  <si>
    <t>0286</t>
  </si>
  <si>
    <t>0372</t>
  </si>
  <si>
    <t>MTL barrier (77200800668 ,77200800672,77200800707 &amp;77200800709</t>
  </si>
  <si>
    <t>AP0001</t>
  </si>
  <si>
    <t>VAP30 E2</t>
  </si>
  <si>
    <t>AP0002</t>
  </si>
  <si>
    <t>VA0002</t>
  </si>
  <si>
    <t>Pass</t>
  </si>
  <si>
    <t>Fail</t>
  </si>
  <si>
    <t>No</t>
  </si>
  <si>
    <t>Version</t>
  </si>
  <si>
    <t>Name</t>
  </si>
  <si>
    <t>Description</t>
  </si>
  <si>
    <t>Developer</t>
  </si>
  <si>
    <t>Status</t>
  </si>
  <si>
    <t>Released Version</t>
  </si>
  <si>
    <t>Date released</t>
  </si>
  <si>
    <t>SS</t>
  </si>
  <si>
    <t>AJ</t>
  </si>
  <si>
    <t>Add Assembley was duplicating serial numbers after section</t>
  </si>
  <si>
    <t>Are you sure? selection confirmation window</t>
  </si>
  <si>
    <t>WD</t>
  </si>
  <si>
    <t>V04.5.1</t>
  </si>
  <si>
    <t>ElseIf IsEmpty(TestRange(i)) Then ActiveSheet.ListObjects("Membranes").ListRows(i - 1).Delete</t>
  </si>
  <si>
    <t>PON number now can only take digits, any char or symbols cannot be entered</t>
  </si>
  <si>
    <t>Leading zero in membrance panel SN</t>
  </si>
  <si>
    <t>AP0003</t>
  </si>
  <si>
    <t>8138-29</t>
  </si>
  <si>
    <t>VAP01-22 Asgard</t>
  </si>
  <si>
    <t>PL203626</t>
  </si>
  <si>
    <t>RN/519215/1219/AD</t>
  </si>
  <si>
    <t>AP0001,2,3 were inaccessible</t>
  </si>
  <si>
    <t>This was due to Change Control - "ExComponentPaths, ExPath" etc. tables were missing</t>
  </si>
  <si>
    <t>BH</t>
  </si>
  <si>
    <t>Rename the following "PSC V SN" - "Customer PO", "Sales Office" - "Customer Name", "Outwards Doc" - "Packing List Number"</t>
  </si>
  <si>
    <t>ATEX</t>
  </si>
  <si>
    <t>User error change Safe Area to ATEX in VAP01 Destination</t>
  </si>
  <si>
    <t>Safe Area</t>
  </si>
  <si>
    <t>7714-13</t>
  </si>
  <si>
    <t>De Ruyter Spares</t>
  </si>
  <si>
    <t xml:space="preserve">DANA Petroleum </t>
  </si>
  <si>
    <t>PL203624</t>
  </si>
  <si>
    <t>DANA petroluem</t>
  </si>
  <si>
    <t>MTL Barrier (77200800676,7715112825)</t>
  </si>
  <si>
    <t>MTL Barrier (77200800690 &amp;77200800696</t>
  </si>
  <si>
    <t>MTL Barrier (77200800700 &amp;77200800701)</t>
  </si>
  <si>
    <t>MTL Barrier (77200800683 &amp;77200800684)</t>
  </si>
  <si>
    <t>D:\EX Area\Manufacturing Archives\Components</t>
  </si>
  <si>
    <t>D:\EX Area\Manufacturing Archives\Products</t>
  </si>
  <si>
    <t>D:\EX Area\Manufacturing Archives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</si>
</sst>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d/mm/yyyy;@"/>
    <numFmt numFmtId="165" formatCode="m/d/yyyy"/>
    <numFmt numFmtId="166" formatCode="dd\ mmm\ yyyy"/>
    <numFmt numFmtId="167" formatCode="[$-809]dd\ mmmm\ yyyy;@"/>
    <numFmt numFmtId="168" formatCode="dd/mm/yy;@"/>
  </numFmts>
  <fonts count="24" x14ac:knownFonts="1">
    <font>
      <sz val="10"/>
      <name val="Arial"/>
    </font>
    <font>
      <sz val="10"/>
      <name val="Arial"/>
      <family val="2"/>
    </font>
    <font>
      <sz val="20"/>
      <name val="Arial"/>
      <family val="2"/>
    </font>
    <font>
      <sz val="12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0"/>
      <color indexed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6500"/>
      <name val="Calibri"/>
      <family val="2"/>
      <scheme val="minor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FF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EB9C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FF33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rgb="FF6666FF"/>
        <bgColor indexed="64"/>
      </patternFill>
    </fill>
    <fill>
      <patternFill patternType="solid">
        <fgColor rgb="FFA5A5A5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/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/>
      <diagonal/>
    </border>
    <border>
      <left style="medium">
        <color indexed="64"/>
      </left>
      <right/>
      <top style="double">
        <color rgb="FF3F3F3F"/>
      </top>
      <bottom style="medium">
        <color indexed="64"/>
      </bottom>
      <diagonal/>
    </border>
    <border>
      <left/>
      <right/>
      <top style="double">
        <color rgb="FF3F3F3F"/>
      </top>
      <bottom style="medium">
        <color indexed="64"/>
      </bottom>
      <diagonal/>
    </border>
    <border>
      <left style="medium">
        <color indexed="64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</borders>
  <cellStyleXfs count="4">
    <xf numFmtId="0" fontId="0" fillId="0" borderId="0"/>
    <xf numFmtId="0" fontId="16" fillId="5" borderId="0" applyNumberFormat="0" applyBorder="0" applyAlignment="0" applyProtection="0"/>
    <xf numFmtId="0" fontId="22" fillId="23" borderId="0" applyNumberFormat="0" applyBorder="0" applyAlignment="0" applyProtection="0"/>
    <xf numFmtId="0" fontId="23" fillId="25" borderId="16" applyNumberFormat="0" applyAlignment="0" applyProtection="0"/>
  </cellStyleXfs>
  <cellXfs count="356">
    <xf numFmtId="0" fontId="0" fillId="0" borderId="0" xfId="0"/>
    <xf numFmtId="0" fontId="0" fillId="0" borderId="0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4" xfId="0" applyFill="1" applyBorder="1" applyAlignment="1">
      <alignment horizontal="left"/>
    </xf>
    <xf numFmtId="0" fontId="2" fillId="0" borderId="0" xfId="0" applyFont="1" applyBorder="1" applyAlignment="1">
      <alignment horizontal="left"/>
    </xf>
    <xf numFmtId="0" fontId="7" fillId="0" borderId="0" xfId="0" applyFont="1" applyBorder="1" applyAlignment="1">
      <alignment horizontal="left" vertical="center" shrinkToFit="1"/>
    </xf>
    <xf numFmtId="0" fontId="0" fillId="0" borderId="1" xfId="0" applyFill="1" applyBorder="1"/>
    <xf numFmtId="0" fontId="5" fillId="0" borderId="1" xfId="0" applyFont="1" applyFill="1" applyBorder="1" applyAlignment="1">
      <alignment horizontal="left"/>
    </xf>
    <xf numFmtId="0" fontId="8" fillId="2" borderId="1" xfId="0" applyFont="1" applyFill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0" fillId="0" borderId="0" xfId="0" applyFill="1"/>
    <xf numFmtId="0" fontId="5" fillId="0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1" fillId="3" borderId="1" xfId="0" applyFont="1" applyFill="1" applyBorder="1" applyAlignment="1">
      <alignment horizontal="left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/>
    </xf>
    <xf numFmtId="0" fontId="5" fillId="0" borderId="1" xfId="0" applyFont="1" applyBorder="1"/>
    <xf numFmtId="0" fontId="7" fillId="0" borderId="1" xfId="0" applyFont="1" applyBorder="1" applyAlignment="1">
      <alignment horizontal="left"/>
    </xf>
    <xf numFmtId="0" fontId="5" fillId="0" borderId="1" xfId="0" applyFont="1" applyBorder="1" applyAlignment="1">
      <alignment horizontal="left"/>
    </xf>
    <xf numFmtId="0" fontId="12" fillId="0" borderId="1" xfId="0" applyFont="1" applyFill="1" applyBorder="1" applyAlignment="1">
      <alignment horizontal="left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/>
    </xf>
    <xf numFmtId="0" fontId="7" fillId="0" borderId="1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/>
    </xf>
    <xf numFmtId="0" fontId="5" fillId="0" borderId="1" xfId="0" quotePrefix="1" applyFont="1" applyFill="1" applyBorder="1" applyAlignment="1">
      <alignment horizontal="center" vertical="center"/>
    </xf>
    <xf numFmtId="0" fontId="5" fillId="0" borderId="1" xfId="1" applyFont="1" applyFill="1" applyBorder="1" applyAlignment="1">
      <alignment horizontal="left"/>
    </xf>
    <xf numFmtId="0" fontId="0" fillId="0" borderId="1" xfId="0" quotePrefix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19" fillId="0" borderId="1" xfId="0" applyFont="1" applyBorder="1" applyAlignment="1">
      <alignment horizontal="left"/>
    </xf>
    <xf numFmtId="0" fontId="19" fillId="0" borderId="1" xfId="0" applyFont="1" applyBorder="1" applyAlignment="1">
      <alignment horizontal="center"/>
    </xf>
    <xf numFmtId="0" fontId="19" fillId="0" borderId="1" xfId="0" quotePrefix="1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 wrapText="1"/>
    </xf>
    <xf numFmtId="0" fontId="0" fillId="0" borderId="1" xfId="0" applyFill="1" applyBorder="1" applyAlignment="1">
      <alignment horizontal="left" vertical="center"/>
    </xf>
    <xf numFmtId="0" fontId="18" fillId="8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5" fillId="0" borderId="0" xfId="0" applyFont="1" applyFill="1"/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2" xfId="0" quotePrefix="1" applyBorder="1" applyAlignment="1">
      <alignment horizontal="center" vertical="center"/>
    </xf>
    <xf numFmtId="0" fontId="0" fillId="0" borderId="6" xfId="0" quotePrefix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14" fontId="0" fillId="0" borderId="3" xfId="0" applyNumberForma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4" fontId="0" fillId="0" borderId="9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0" fontId="5" fillId="0" borderId="1" xfId="0" applyFont="1" applyBorder="1" applyAlignment="1">
      <alignment horizontal="left" wrapText="1"/>
    </xf>
    <xf numFmtId="0" fontId="5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0" fillId="0" borderId="4" xfId="0" applyFill="1" applyBorder="1" applyAlignment="1">
      <alignment horizontal="left" vertical="center"/>
    </xf>
    <xf numFmtId="0" fontId="11" fillId="3" borderId="1" xfId="0" applyFont="1" applyFill="1" applyBorder="1" applyAlignment="1">
      <alignment horizontal="left" vertical="center"/>
    </xf>
    <xf numFmtId="0" fontId="12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/>
    </xf>
    <xf numFmtId="0" fontId="19" fillId="0" borderId="1" xfId="0" applyFont="1" applyBorder="1" applyAlignment="1">
      <alignment horizontal="left" vertical="center"/>
    </xf>
    <xf numFmtId="14" fontId="1" fillId="0" borderId="3" xfId="0" applyNumberFormat="1" applyFont="1" applyBorder="1" applyAlignment="1">
      <alignment horizontal="center" vertical="center"/>
    </xf>
    <xf numFmtId="14" fontId="0" fillId="0" borderId="3" xfId="0" applyNumberFormat="1" applyFill="1" applyBorder="1" applyAlignment="1">
      <alignment horizontal="center" vertical="center"/>
    </xf>
    <xf numFmtId="14" fontId="11" fillId="3" borderId="3" xfId="0" applyNumberFormat="1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14" fontId="12" fillId="0" borderId="3" xfId="0" applyNumberFormat="1" applyFont="1" applyBorder="1" applyAlignment="1">
      <alignment horizontal="center" vertical="center"/>
    </xf>
    <xf numFmtId="14" fontId="7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14" fontId="5" fillId="0" borderId="3" xfId="0" applyNumberFormat="1" applyFont="1" applyFill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4" fontId="5" fillId="0" borderId="3" xfId="0" applyNumberFormat="1" applyFont="1" applyBorder="1" applyAlignment="1">
      <alignment horizontal="center" vertical="center"/>
    </xf>
    <xf numFmtId="0" fontId="18" fillId="8" borderId="1" xfId="0" quotePrefix="1" applyFont="1" applyFill="1" applyBorder="1" applyAlignment="1">
      <alignment horizontal="center" vertical="center"/>
    </xf>
    <xf numFmtId="17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left" wrapText="1"/>
    </xf>
    <xf numFmtId="0" fontId="19" fillId="0" borderId="1" xfId="0" applyFont="1" applyBorder="1"/>
    <xf numFmtId="0" fontId="5" fillId="0" borderId="1" xfId="0" applyFont="1" applyBorder="1" applyAlignment="1">
      <alignment vertical="center"/>
    </xf>
    <xf numFmtId="0" fontId="5" fillId="0" borderId="0" xfId="0" applyFont="1" applyAlignment="1">
      <alignment vertical="center"/>
    </xf>
    <xf numFmtId="14" fontId="19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left" wrapText="1"/>
    </xf>
    <xf numFmtId="14" fontId="19" fillId="0" borderId="3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vertical="center"/>
    </xf>
    <xf numFmtId="0" fontId="19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center"/>
    </xf>
    <xf numFmtId="0" fontId="17" fillId="0" borderId="0" xfId="0" applyFont="1" applyFill="1" applyAlignment="1">
      <alignment vertical="center"/>
    </xf>
    <xf numFmtId="0" fontId="17" fillId="0" borderId="1" xfId="0" applyFont="1" applyFill="1" applyBorder="1" applyAlignment="1">
      <alignment horizontal="left" vertical="center" wrapText="1"/>
    </xf>
    <xf numFmtId="0" fontId="18" fillId="8" borderId="1" xfId="0" applyFont="1" applyFill="1" applyBorder="1" applyAlignment="1">
      <alignment horizontal="left"/>
    </xf>
    <xf numFmtId="0" fontId="19" fillId="0" borderId="0" xfId="0" applyFont="1" applyAlignment="1">
      <alignment horizontal="left"/>
    </xf>
    <xf numFmtId="0" fontId="19" fillId="0" borderId="0" xfId="0" applyFont="1"/>
    <xf numFmtId="0" fontId="5" fillId="0" borderId="0" xfId="0" applyFont="1"/>
    <xf numFmtId="0" fontId="0" fillId="9" borderId="1" xfId="0" applyFill="1" applyBorder="1" applyAlignment="1">
      <alignment horizontal="center" vertical="center"/>
    </xf>
    <xf numFmtId="0" fontId="0" fillId="6" borderId="0" xfId="0" applyFill="1"/>
    <xf numFmtId="0" fontId="10" fillId="14" borderId="7" xfId="0" applyFont="1" applyFill="1" applyBorder="1" applyAlignment="1">
      <alignment horizontal="center" vertical="center" wrapText="1"/>
    </xf>
    <xf numFmtId="0" fontId="10" fillId="14" borderId="6" xfId="0" applyFont="1" applyFill="1" applyBorder="1" applyAlignment="1">
      <alignment horizontal="center" vertical="center" wrapText="1"/>
    </xf>
    <xf numFmtId="0" fontId="10" fillId="14" borderId="6" xfId="0" applyNumberFormat="1" applyFont="1" applyFill="1" applyBorder="1" applyAlignment="1">
      <alignment horizontal="center" vertical="center" wrapText="1"/>
    </xf>
    <xf numFmtId="0" fontId="10" fillId="14" borderId="7" xfId="0" applyNumberFormat="1" applyFont="1" applyFill="1" applyBorder="1" applyAlignment="1">
      <alignment horizontal="center" vertical="center" wrapText="1"/>
    </xf>
    <xf numFmtId="0" fontId="10" fillId="14" borderId="13" xfId="0" applyNumberFormat="1" applyFont="1" applyFill="1" applyBorder="1" applyAlignment="1">
      <alignment horizontal="center" vertical="center" wrapText="1"/>
    </xf>
    <xf numFmtId="0" fontId="10" fillId="15" borderId="7" xfId="0" applyNumberFormat="1" applyFont="1" applyFill="1" applyBorder="1" applyAlignment="1">
      <alignment horizontal="center" vertical="center" wrapText="1"/>
    </xf>
    <xf numFmtId="0" fontId="10" fillId="16" borderId="7" xfId="0" applyNumberFormat="1" applyFont="1" applyFill="1" applyBorder="1" applyAlignment="1">
      <alignment horizontal="center" vertical="center" wrapText="1"/>
    </xf>
    <xf numFmtId="0" fontId="10" fillId="13" borderId="7" xfId="0" applyNumberFormat="1" applyFont="1" applyFill="1" applyBorder="1" applyAlignment="1">
      <alignment horizontal="center" vertical="center" wrapText="1"/>
    </xf>
    <xf numFmtId="0" fontId="10" fillId="12" borderId="7" xfId="0" applyNumberFormat="1" applyFont="1" applyFill="1" applyBorder="1" applyAlignment="1">
      <alignment horizontal="center" vertical="center" wrapText="1"/>
    </xf>
    <xf numFmtId="0" fontId="10" fillId="10" borderId="7" xfId="0" applyNumberFormat="1" applyFont="1" applyFill="1" applyBorder="1" applyAlignment="1">
      <alignment horizontal="center" vertical="center" wrapText="1"/>
    </xf>
    <xf numFmtId="0" fontId="9" fillId="10" borderId="6" xfId="0" applyFont="1" applyFill="1" applyBorder="1" applyAlignment="1">
      <alignment horizontal="center" vertical="center" wrapText="1"/>
    </xf>
    <xf numFmtId="0" fontId="10" fillId="10" borderId="6" xfId="0" applyFont="1" applyFill="1" applyBorder="1" applyAlignment="1">
      <alignment horizontal="center" vertical="center" wrapText="1"/>
    </xf>
    <xf numFmtId="1" fontId="10" fillId="10" borderId="6" xfId="0" applyNumberFormat="1" applyFont="1" applyFill="1" applyBorder="1" applyAlignment="1">
      <alignment horizontal="center" vertical="center" wrapText="1"/>
    </xf>
    <xf numFmtId="1" fontId="10" fillId="11" borderId="6" xfId="0" applyNumberFormat="1" applyFont="1" applyFill="1" applyBorder="1" applyAlignment="1">
      <alignment horizontal="center" vertical="center" wrapText="1"/>
    </xf>
    <xf numFmtId="0" fontId="10" fillId="11" borderId="6" xfId="0" applyFont="1" applyFill="1" applyBorder="1" applyAlignment="1">
      <alignment horizontal="center" vertical="center" wrapText="1"/>
    </xf>
    <xf numFmtId="0" fontId="18" fillId="8" borderId="0" xfId="0" applyFont="1" applyFill="1"/>
    <xf numFmtId="0" fontId="0" fillId="0" borderId="0" xfId="0" applyNumberFormat="1"/>
    <xf numFmtId="14" fontId="0" fillId="0" borderId="0" xfId="0" applyNumberFormat="1"/>
    <xf numFmtId="0" fontId="10" fillId="15" borderId="6" xfId="0" applyNumberFormat="1" applyFont="1" applyFill="1" applyBorder="1" applyAlignment="1">
      <alignment horizontal="center" vertical="center" wrapText="1"/>
    </xf>
    <xf numFmtId="0" fontId="10" fillId="16" borderId="6" xfId="0" applyNumberFormat="1" applyFont="1" applyFill="1" applyBorder="1" applyAlignment="1">
      <alignment horizontal="center" vertical="center" wrapText="1"/>
    </xf>
    <xf numFmtId="0" fontId="0" fillId="0" borderId="0" xfId="0" applyProtection="1">
      <protection locked="0"/>
    </xf>
    <xf numFmtId="0" fontId="1" fillId="0" borderId="0" xfId="0" applyFont="1" applyProtection="1">
      <protection locked="0"/>
    </xf>
    <xf numFmtId="0" fontId="1" fillId="0" borderId="0" xfId="0" applyFont="1"/>
    <xf numFmtId="14" fontId="1" fillId="0" borderId="0" xfId="0" applyNumberFormat="1" applyFont="1" applyProtection="1">
      <protection locked="0"/>
    </xf>
    <xf numFmtId="0" fontId="1" fillId="0" borderId="0" xfId="0" applyFont="1" applyProtection="1"/>
    <xf numFmtId="0" fontId="0" fillId="0" borderId="0" xfId="0" applyNumberFormat="1" applyProtection="1"/>
    <xf numFmtId="14" fontId="1" fillId="0" borderId="0" xfId="0" applyNumberFormat="1" applyFont="1" applyProtection="1"/>
    <xf numFmtId="0" fontId="21" fillId="0" borderId="0" xfId="0" applyFont="1" applyProtection="1"/>
    <xf numFmtId="164" fontId="1" fillId="0" borderId="0" xfId="0" applyNumberFormat="1" applyFont="1" applyProtection="1"/>
    <xf numFmtId="164" fontId="1" fillId="0" borderId="0" xfId="0" applyNumberFormat="1" applyFont="1" applyProtection="1">
      <protection locked="0"/>
    </xf>
    <xf numFmtId="0" fontId="0" fillId="0" borderId="0" xfId="0" applyNumberFormat="1" applyFont="1"/>
    <xf numFmtId="0" fontId="10" fillId="14" borderId="0" xfId="0" applyNumberFormat="1" applyFont="1" applyFill="1" applyBorder="1" applyAlignment="1">
      <alignment horizontal="center" vertical="center" wrapText="1"/>
    </xf>
    <xf numFmtId="0" fontId="9" fillId="14" borderId="0" xfId="0" applyFont="1" applyFill="1" applyAlignment="1">
      <alignment horizontal="center" vertical="center"/>
    </xf>
    <xf numFmtId="0" fontId="9" fillId="14" borderId="0" xfId="0" applyFont="1" applyFill="1" applyBorder="1" applyAlignment="1">
      <alignment horizontal="center" vertical="center"/>
    </xf>
    <xf numFmtId="0" fontId="10" fillId="14" borderId="4" xfId="0" applyNumberFormat="1" applyFont="1" applyFill="1" applyBorder="1" applyAlignment="1">
      <alignment horizontal="center" vertical="center" wrapText="1"/>
    </xf>
    <xf numFmtId="0" fontId="9" fillId="14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 wrapText="1"/>
    </xf>
    <xf numFmtId="0" fontId="1" fillId="7" borderId="0" xfId="0" applyFont="1" applyFill="1" applyBorder="1" applyAlignment="1">
      <alignment horizontal="center" vertical="center" wrapText="1"/>
    </xf>
    <xf numFmtId="0" fontId="1" fillId="18" borderId="7" xfId="0" applyNumberFormat="1" applyFont="1" applyFill="1" applyBorder="1" applyAlignment="1">
      <alignment horizontal="center" vertical="center" wrapText="1"/>
    </xf>
    <xf numFmtId="0" fontId="1" fillId="18" borderId="6" xfId="0" applyFont="1" applyFill="1" applyBorder="1" applyAlignment="1">
      <alignment horizontal="center" vertical="center" wrapText="1"/>
    </xf>
    <xf numFmtId="1" fontId="1" fillId="18" borderId="6" xfId="0" applyNumberFormat="1" applyFont="1" applyFill="1" applyBorder="1" applyAlignment="1">
      <alignment horizontal="center" vertical="center" wrapText="1"/>
    </xf>
    <xf numFmtId="0" fontId="1" fillId="6" borderId="0" xfId="0" applyFont="1" applyFill="1" applyAlignment="1">
      <alignment wrapText="1"/>
    </xf>
    <xf numFmtId="14" fontId="0" fillId="0" borderId="0" xfId="0" applyNumberFormat="1" applyFill="1"/>
    <xf numFmtId="14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0" fontId="0" fillId="0" borderId="0" xfId="0" applyNumberFormat="1" applyFill="1" applyProtection="1">
      <protection locked="0"/>
    </xf>
    <xf numFmtId="0" fontId="1" fillId="0" borderId="0" xfId="0" applyFont="1" applyFill="1" applyProtection="1">
      <protection locked="0"/>
    </xf>
    <xf numFmtId="0" fontId="21" fillId="0" borderId="0" xfId="0" applyFont="1" applyFill="1"/>
    <xf numFmtId="0" fontId="0" fillId="0" borderId="0" xfId="0" applyFill="1" applyProtection="1"/>
    <xf numFmtId="0" fontId="0" fillId="0" borderId="0" xfId="0" applyNumberFormat="1" applyFill="1"/>
    <xf numFmtId="0" fontId="0" fillId="19" borderId="0" xfId="0" applyNumberFormat="1" applyFill="1"/>
    <xf numFmtId="0" fontId="0" fillId="19" borderId="0" xfId="0" applyFill="1" applyProtection="1"/>
    <xf numFmtId="0" fontId="1" fillId="19" borderId="0" xfId="0" applyFont="1" applyFill="1" applyProtection="1"/>
    <xf numFmtId="0" fontId="0" fillId="19" borderId="0" xfId="0" applyNumberFormat="1" applyFill="1" applyProtection="1"/>
    <xf numFmtId="0" fontId="10" fillId="14" borderId="6" xfId="0" applyNumberFormat="1" applyFont="1" applyFill="1" applyBorder="1" applyAlignment="1" applyProtection="1">
      <alignment horizontal="center" vertical="center" wrapText="1"/>
    </xf>
    <xf numFmtId="0" fontId="10" fillId="14" borderId="0" xfId="0" applyNumberFormat="1" applyFont="1" applyFill="1" applyBorder="1" applyAlignment="1" applyProtection="1">
      <alignment horizontal="center" vertical="center" wrapText="1"/>
    </xf>
    <xf numFmtId="14" fontId="0" fillId="20" borderId="0" xfId="0" applyNumberFormat="1" applyFill="1"/>
    <xf numFmtId="0" fontId="1" fillId="20" borderId="0" xfId="0" applyFont="1" applyFill="1"/>
    <xf numFmtId="0" fontId="0" fillId="20" borderId="0" xfId="0" applyFill="1"/>
    <xf numFmtId="0" fontId="0" fillId="20" borderId="0" xfId="0" applyNumberFormat="1" applyFill="1"/>
    <xf numFmtId="14" fontId="0" fillId="20" borderId="0" xfId="0" applyNumberFormat="1" applyFill="1" applyProtection="1">
      <protection locked="0"/>
    </xf>
    <xf numFmtId="0" fontId="0" fillId="20" borderId="0" xfId="0" applyFill="1" applyProtection="1">
      <protection locked="0"/>
    </xf>
    <xf numFmtId="0" fontId="1" fillId="20" borderId="0" xfId="0" applyFont="1" applyFill="1" applyProtection="1">
      <protection locked="0"/>
    </xf>
    <xf numFmtId="0" fontId="0" fillId="20" borderId="0" xfId="0" applyFill="1" applyProtection="1"/>
    <xf numFmtId="0" fontId="1" fillId="20" borderId="0" xfId="0" applyFont="1" applyFill="1" applyProtection="1"/>
    <xf numFmtId="14" fontId="1" fillId="20" borderId="0" xfId="0" applyNumberFormat="1" applyFont="1" applyFill="1" applyProtection="1"/>
    <xf numFmtId="164" fontId="1" fillId="20" borderId="0" xfId="0" applyNumberFormat="1" applyFont="1" applyFill="1" applyProtection="1">
      <protection locked="0"/>
    </xf>
    <xf numFmtId="14" fontId="1" fillId="19" borderId="0" xfId="0" applyNumberFormat="1" applyFont="1" applyFill="1" applyProtection="1"/>
    <xf numFmtId="164" fontId="1" fillId="19" borderId="0" xfId="0" applyNumberFormat="1" applyFont="1" applyFill="1" applyProtection="1"/>
    <xf numFmtId="164" fontId="0" fillId="20" borderId="0" xfId="0" applyNumberFormat="1" applyFill="1"/>
    <xf numFmtId="164" fontId="0" fillId="20" borderId="0" xfId="0" applyNumberFormat="1" applyFill="1" applyProtection="1">
      <protection locked="0"/>
    </xf>
    <xf numFmtId="0" fontId="5" fillId="20" borderId="0" xfId="0" applyFont="1" applyFill="1"/>
    <xf numFmtId="0" fontId="0" fillId="20" borderId="0" xfId="0" applyFont="1" applyFill="1"/>
    <xf numFmtId="0" fontId="0" fillId="20" borderId="0" xfId="0" applyFont="1" applyFill="1" applyProtection="1">
      <protection locked="0"/>
    </xf>
    <xf numFmtId="0" fontId="0" fillId="0" borderId="0" xfId="0" applyNumberFormat="1" applyFill="1" applyProtection="1"/>
    <xf numFmtId="0" fontId="1" fillId="0" borderId="0" xfId="0" applyFont="1" applyFill="1" applyProtection="1"/>
    <xf numFmtId="0" fontId="0" fillId="21" borderId="0" xfId="0" applyNumberFormat="1" applyFill="1"/>
    <xf numFmtId="0" fontId="1" fillId="21" borderId="0" xfId="0" applyFont="1" applyFill="1" applyProtection="1"/>
    <xf numFmtId="0" fontId="0" fillId="21" borderId="0" xfId="0" applyFill="1" applyProtection="1"/>
    <xf numFmtId="14" fontId="1" fillId="0" borderId="0" xfId="0" applyNumberFormat="1" applyFont="1" applyFill="1" applyProtection="1"/>
    <xf numFmtId="164" fontId="1" fillId="0" borderId="0" xfId="0" applyNumberFormat="1" applyFont="1" applyFill="1" applyProtection="1">
      <protection locked="0"/>
    </xf>
    <xf numFmtId="164" fontId="0" fillId="0" borderId="0" xfId="0" applyNumberFormat="1" applyFill="1"/>
    <xf numFmtId="164" fontId="0" fillId="0" borderId="0" xfId="0" applyNumberFormat="1" applyFill="1" applyProtection="1">
      <protection locked="0"/>
    </xf>
    <xf numFmtId="0" fontId="0" fillId="0" borderId="0" xfId="0" applyNumberFormat="1" applyFont="1" applyFill="1"/>
    <xf numFmtId="0" fontId="1" fillId="0" borderId="0" xfId="0" applyNumberFormat="1" applyFont="1" applyFill="1" applyProtection="1">
      <protection locked="0"/>
    </xf>
    <xf numFmtId="0" fontId="1" fillId="0" borderId="0" xfId="0" applyNumberFormat="1" applyFont="1" applyFill="1"/>
    <xf numFmtId="0" fontId="21" fillId="0" borderId="0" xfId="0" applyFont="1" applyFill="1" applyProtection="1"/>
    <xf numFmtId="19" fontId="1" fillId="0" borderId="0" xfId="0" applyNumberFormat="1" applyFont="1" applyFill="1" applyProtection="1"/>
    <xf numFmtId="164" fontId="1" fillId="0" borderId="0" xfId="0" applyNumberFormat="1" applyFont="1" applyFill="1" applyProtection="1"/>
    <xf numFmtId="0" fontId="5" fillId="0" borderId="0" xfId="0" applyFont="1" applyFill="1" applyProtection="1">
      <protection locked="0"/>
    </xf>
    <xf numFmtId="14" fontId="1" fillId="21" borderId="0" xfId="0" applyNumberFormat="1" applyFont="1" applyFill="1" applyProtection="1"/>
    <xf numFmtId="0" fontId="0" fillId="21" borderId="0" xfId="0" applyNumberFormat="1" applyFill="1" applyProtection="1"/>
    <xf numFmtId="164" fontId="1" fillId="21" borderId="0" xfId="0" applyNumberFormat="1" applyFont="1" applyFill="1" applyProtection="1"/>
    <xf numFmtId="14" fontId="1" fillId="7" borderId="0" xfId="0" applyNumberFormat="1" applyFont="1" applyFill="1" applyAlignment="1">
      <alignment horizontal="center" vertical="center" wrapText="1"/>
    </xf>
    <xf numFmtId="14" fontId="1" fillId="6" borderId="0" xfId="0" applyNumberFormat="1" applyFont="1" applyFill="1" applyAlignment="1">
      <alignment wrapText="1"/>
    </xf>
    <xf numFmtId="14" fontId="1" fillId="7" borderId="0" xfId="0" applyNumberFormat="1" applyFont="1" applyFill="1" applyBorder="1" applyAlignment="1">
      <alignment horizontal="center" vertical="center" wrapText="1"/>
    </xf>
    <xf numFmtId="0" fontId="0" fillId="0" borderId="0" xfId="0" applyProtection="1"/>
    <xf numFmtId="0" fontId="1" fillId="17" borderId="0" xfId="0" applyFont="1" applyFill="1"/>
    <xf numFmtId="0" fontId="1" fillId="7" borderId="0" xfId="0" applyFont="1" applyFill="1" applyAlignment="1" applyProtection="1">
      <alignment wrapText="1"/>
    </xf>
    <xf numFmtId="0" fontId="22" fillId="23" borderId="0" xfId="2"/>
    <xf numFmtId="164" fontId="0" fillId="0" borderId="0" xfId="0" applyNumberFormat="1"/>
    <xf numFmtId="0" fontId="0" fillId="0" borderId="0" xfId="0" applyAlignment="1">
      <alignment horizontal="right"/>
    </xf>
    <xf numFmtId="0" fontId="1" fillId="22" borderId="0" xfId="0" applyFont="1" applyFill="1" applyAlignment="1" applyProtection="1">
      <alignment wrapText="1"/>
    </xf>
    <xf numFmtId="0" fontId="0" fillId="22" borderId="0" xfId="0" applyFont="1" applyFill="1" applyAlignment="1" applyProtection="1">
      <alignment wrapText="1"/>
    </xf>
    <xf numFmtId="0" fontId="0" fillId="22" borderId="0" xfId="0" applyFill="1" applyAlignment="1" applyProtection="1">
      <alignment wrapText="1"/>
    </xf>
    <xf numFmtId="0" fontId="1" fillId="0" borderId="0" xfId="0" applyFont="1" applyAlignment="1" applyProtection="1">
      <alignment wrapText="1"/>
    </xf>
    <xf numFmtId="0" fontId="0" fillId="0" borderId="0" xfId="0" applyFont="1" applyAlignment="1" applyProtection="1">
      <alignment wrapText="1"/>
    </xf>
    <xf numFmtId="0" fontId="0" fillId="0" borderId="0" xfId="0" applyAlignment="1" applyProtection="1">
      <alignment wrapText="1"/>
    </xf>
    <xf numFmtId="0" fontId="0" fillId="20" borderId="0" xfId="0" applyNumberFormat="1" applyFill="1" applyProtection="1"/>
    <xf numFmtId="0" fontId="1" fillId="0" borderId="0" xfId="0" applyFont="1" applyFill="1"/>
    <xf numFmtId="16" fontId="0" fillId="0" borderId="0" xfId="0" applyNumberFormat="1" applyFill="1"/>
    <xf numFmtId="49" fontId="0" fillId="0" borderId="0" xfId="0" applyNumberFormat="1" applyFill="1"/>
    <xf numFmtId="49" fontId="1" fillId="0" borderId="0" xfId="0" applyNumberFormat="1" applyFont="1" applyFill="1"/>
    <xf numFmtId="0" fontId="1" fillId="18" borderId="0" xfId="0" applyNumberFormat="1" applyFont="1" applyFill="1" applyBorder="1" applyAlignment="1" applyProtection="1">
      <alignment horizontal="center" vertical="center" wrapText="1"/>
      <protection hidden="1"/>
    </xf>
    <xf numFmtId="0" fontId="1" fillId="18" borderId="0" xfId="0" applyFont="1" applyFill="1" applyBorder="1" applyAlignment="1" applyProtection="1">
      <alignment horizontal="center" vertical="center" wrapText="1"/>
      <protection hidden="1"/>
    </xf>
    <xf numFmtId="1" fontId="1" fillId="18" borderId="0" xfId="0" applyNumberFormat="1" applyFont="1" applyFill="1" applyBorder="1" applyAlignment="1" applyProtection="1">
      <alignment horizontal="center" vertical="center" wrapText="1"/>
      <protection hidden="1"/>
    </xf>
    <xf numFmtId="0" fontId="1" fillId="18" borderId="0" xfId="0" applyNumberFormat="1" applyFont="1" applyFill="1" applyBorder="1" applyAlignment="1" applyProtection="1">
      <alignment horizontal="center" vertical="center" wrapText="1"/>
    </xf>
    <xf numFmtId="165" fontId="0" fillId="22" borderId="0" xfId="0" applyNumberFormat="1" applyFill="1" applyAlignment="1" applyProtection="1">
      <alignment wrapText="1"/>
    </xf>
    <xf numFmtId="0" fontId="1" fillId="18" borderId="0" xfId="0" applyFont="1" applyFill="1" applyBorder="1" applyAlignment="1" applyProtection="1">
      <alignment horizontal="center" vertical="center" wrapText="1"/>
      <protection locked="0" hidden="1"/>
    </xf>
    <xf numFmtId="167" fontId="10" fillId="14" borderId="7" xfId="0" applyNumberFormat="1" applyFont="1" applyFill="1" applyBorder="1" applyAlignment="1">
      <alignment horizontal="center" vertical="center" wrapText="1"/>
    </xf>
    <xf numFmtId="167" fontId="0" fillId="20" borderId="0" xfId="0" applyNumberFormat="1" applyFill="1"/>
    <xf numFmtId="167" fontId="0" fillId="0" borderId="0" xfId="0" applyNumberFormat="1"/>
    <xf numFmtId="167" fontId="0" fillId="0" borderId="0" xfId="0" applyNumberFormat="1" applyFill="1"/>
    <xf numFmtId="167" fontId="10" fillId="14" borderId="6" xfId="0" applyNumberFormat="1" applyFont="1" applyFill="1" applyBorder="1" applyAlignment="1" applyProtection="1">
      <alignment horizontal="center" vertical="center" wrapText="1"/>
    </xf>
    <xf numFmtId="167" fontId="0" fillId="20" borderId="0" xfId="0" applyNumberFormat="1" applyFill="1" applyProtection="1">
      <protection locked="0"/>
    </xf>
    <xf numFmtId="167" fontId="0" fillId="0" borderId="0" xfId="0" applyNumberFormat="1" applyFill="1" applyProtection="1">
      <protection locked="0"/>
    </xf>
    <xf numFmtId="14" fontId="0" fillId="24" borderId="0" xfId="0" applyNumberFormat="1" applyFill="1" applyProtection="1"/>
    <xf numFmtId="0" fontId="0" fillId="24" borderId="0" xfId="0" applyFill="1" applyProtection="1"/>
    <xf numFmtId="0" fontId="0" fillId="17" borderId="0" xfId="0" applyFill="1" applyAlignment="1" applyProtection="1">
      <alignment wrapText="1"/>
    </xf>
    <xf numFmtId="0" fontId="1" fillId="17" borderId="0" xfId="0" applyFont="1" applyFill="1" applyAlignment="1" applyProtection="1">
      <alignment wrapText="1"/>
    </xf>
    <xf numFmtId="0" fontId="1" fillId="6" borderId="0" xfId="0" applyFont="1" applyFill="1" applyAlignment="1" applyProtection="1">
      <alignment wrapText="1"/>
    </xf>
    <xf numFmtId="0" fontId="0" fillId="6" borderId="0" xfId="0" applyFill="1" applyAlignment="1" applyProtection="1">
      <alignment wrapText="1"/>
    </xf>
    <xf numFmtId="0" fontId="0" fillId="6" borderId="0" xfId="0" applyFont="1" applyFill="1" applyAlignment="1" applyProtection="1">
      <alignment wrapText="1"/>
    </xf>
    <xf numFmtId="0" fontId="0" fillId="7" borderId="0" xfId="0" applyFont="1" applyFill="1" applyAlignment="1" applyProtection="1">
      <alignment wrapText="1"/>
    </xf>
    <xf numFmtId="166" fontId="0" fillId="24" borderId="0" xfId="0" applyNumberFormat="1" applyFill="1" applyProtection="1"/>
    <xf numFmtId="0" fontId="0" fillId="24" borderId="0" xfId="0" applyNumberFormat="1" applyFill="1" applyProtection="1"/>
    <xf numFmtId="14" fontId="0" fillId="0" borderId="0" xfId="0" applyNumberFormat="1" applyFill="1" applyProtection="1"/>
    <xf numFmtId="49" fontId="1" fillId="7" borderId="0" xfId="0" applyNumberFormat="1" applyFont="1" applyFill="1" applyBorder="1" applyAlignment="1">
      <alignment horizontal="center" vertical="center" wrapText="1"/>
    </xf>
    <xf numFmtId="49" fontId="0" fillId="20" borderId="0" xfId="0" applyNumberFormat="1" applyFill="1" applyProtection="1"/>
    <xf numFmtId="49" fontId="0" fillId="0" borderId="0" xfId="0" applyNumberFormat="1"/>
    <xf numFmtId="49" fontId="0" fillId="0" borderId="0" xfId="0" applyNumberFormat="1" applyProtection="1"/>
    <xf numFmtId="167" fontId="0" fillId="24" borderId="0" xfId="0" applyNumberFormat="1" applyFill="1"/>
    <xf numFmtId="49" fontId="1" fillId="24" borderId="0" xfId="0" applyNumberFormat="1" applyFont="1" applyFill="1"/>
    <xf numFmtId="0" fontId="1" fillId="24" borderId="0" xfId="0" applyFont="1" applyFill="1"/>
    <xf numFmtId="49" fontId="0" fillId="24" borderId="0" xfId="0" applyNumberFormat="1" applyFill="1"/>
    <xf numFmtId="0" fontId="0" fillId="24" borderId="0" xfId="0" applyNumberFormat="1" applyFill="1"/>
    <xf numFmtId="167" fontId="0" fillId="24" borderId="0" xfId="0" applyNumberFormat="1" applyFill="1" applyProtection="1"/>
    <xf numFmtId="0" fontId="1" fillId="24" borderId="0" xfId="0" applyFont="1" applyFill="1" applyProtection="1"/>
    <xf numFmtId="0" fontId="23" fillId="25" borderId="17" xfId="3" applyBorder="1" applyAlignment="1">
      <alignment wrapText="1"/>
    </xf>
    <xf numFmtId="0" fontId="23" fillId="25" borderId="17" xfId="3" applyBorder="1" applyAlignment="1">
      <alignment vertical="center" wrapText="1"/>
    </xf>
    <xf numFmtId="168" fontId="23" fillId="25" borderId="17" xfId="3" applyNumberFormat="1" applyBorder="1" applyAlignment="1">
      <alignment wrapText="1"/>
    </xf>
    <xf numFmtId="0" fontId="23" fillId="25" borderId="18" xfId="3" applyBorder="1" applyAlignment="1">
      <alignment wrapText="1"/>
    </xf>
    <xf numFmtId="0" fontId="0" fillId="0" borderId="19" xfId="0" applyBorder="1" applyAlignment="1">
      <alignment wrapText="1"/>
    </xf>
    <xf numFmtId="168" fontId="0" fillId="0" borderId="20" xfId="0" applyNumberFormat="1" applyBorder="1" applyAlignment="1">
      <alignment wrapText="1"/>
    </xf>
    <xf numFmtId="0" fontId="0" fillId="0" borderId="20" xfId="0" applyBorder="1" applyAlignment="1">
      <alignment wrapText="1"/>
    </xf>
    <xf numFmtId="0" fontId="1" fillId="0" borderId="20" xfId="0" applyFont="1" applyBorder="1" applyAlignment="1">
      <alignment vertical="center" wrapText="1"/>
    </xf>
    <xf numFmtId="164" fontId="0" fillId="0" borderId="20" xfId="0" applyNumberFormat="1" applyBorder="1" applyAlignment="1">
      <alignment wrapText="1"/>
    </xf>
    <xf numFmtId="168" fontId="0" fillId="0" borderId="21" xfId="0" applyNumberFormat="1" applyBorder="1" applyAlignment="1">
      <alignment wrapText="1"/>
    </xf>
    <xf numFmtId="0" fontId="0" fillId="0" borderId="21" xfId="0" applyBorder="1" applyAlignment="1">
      <alignment wrapText="1"/>
    </xf>
    <xf numFmtId="0" fontId="0" fillId="0" borderId="20" xfId="0" applyBorder="1" applyAlignment="1">
      <alignment vertical="center" wrapText="1"/>
    </xf>
    <xf numFmtId="0" fontId="1" fillId="0" borderId="20" xfId="0" applyFont="1" applyBorder="1" applyAlignment="1">
      <alignment wrapText="1"/>
    </xf>
    <xf numFmtId="0" fontId="0" fillId="0" borderId="22" xfId="0" applyBorder="1" applyAlignment="1">
      <alignment wrapText="1"/>
    </xf>
    <xf numFmtId="168" fontId="0" fillId="0" borderId="23" xfId="0" applyNumberFormat="1" applyBorder="1" applyAlignment="1">
      <alignment wrapText="1"/>
    </xf>
    <xf numFmtId="0" fontId="0" fillId="0" borderId="23" xfId="0" applyBorder="1" applyAlignment="1">
      <alignment wrapText="1"/>
    </xf>
    <xf numFmtId="0" fontId="0" fillId="0" borderId="23" xfId="0" applyBorder="1" applyAlignment="1">
      <alignment vertical="center" wrapText="1"/>
    </xf>
    <xf numFmtId="166" fontId="0" fillId="24" borderId="0" xfId="0" applyNumberFormat="1" applyFill="1"/>
    <xf numFmtId="49" fontId="1" fillId="24" borderId="0" xfId="0" applyNumberFormat="1" applyFont="1" applyFill="1" applyProtection="1"/>
    <xf numFmtId="49" fontId="1" fillId="6" borderId="0" xfId="0" applyNumberFormat="1" applyFont="1" applyFill="1" applyAlignment="1">
      <alignment wrapText="1"/>
    </xf>
    <xf numFmtId="49" fontId="0" fillId="20" borderId="0" xfId="0" applyNumberFormat="1" applyFill="1" applyProtection="1">
      <protection locked="0"/>
    </xf>
    <xf numFmtId="49" fontId="0" fillId="0" borderId="0" xfId="0" applyNumberFormat="1" applyFill="1" applyProtection="1">
      <protection locked="0"/>
    </xf>
    <xf numFmtId="0" fontId="1" fillId="0" borderId="21" xfId="0" applyFont="1" applyBorder="1" applyAlignment="1">
      <alignment vertical="center" wrapText="1"/>
    </xf>
    <xf numFmtId="0" fontId="1" fillId="0" borderId="0" xfId="0" applyFont="1" applyBorder="1" applyAlignment="1">
      <alignment vertical="center" wrapText="1"/>
    </xf>
    <xf numFmtId="0" fontId="0" fillId="0" borderId="24" xfId="0" applyBorder="1" applyAlignment="1">
      <alignment wrapText="1"/>
    </xf>
    <xf numFmtId="168" fontId="0" fillId="0" borderId="25" xfId="0" applyNumberFormat="1" applyBorder="1" applyAlignment="1">
      <alignment wrapText="1"/>
    </xf>
    <xf numFmtId="0" fontId="0" fillId="0" borderId="25" xfId="0" applyBorder="1" applyAlignment="1">
      <alignment wrapText="1"/>
    </xf>
    <xf numFmtId="0" fontId="0" fillId="0" borderId="25" xfId="0" applyBorder="1" applyAlignment="1">
      <alignment vertical="center" wrapText="1"/>
    </xf>
    <xf numFmtId="0" fontId="1" fillId="0" borderId="25" xfId="0" applyFont="1" applyBorder="1" applyAlignment="1">
      <alignment wrapText="1"/>
    </xf>
    <xf numFmtId="0" fontId="1" fillId="0" borderId="25" xfId="0" applyFont="1" applyBorder="1" applyAlignment="1">
      <alignment vertical="center" wrapText="1"/>
    </xf>
    <xf numFmtId="14" fontId="1" fillId="18" borderId="0" xfId="0" applyNumberFormat="1" applyFont="1" applyFill="1" applyBorder="1" applyAlignment="1" applyProtection="1">
      <alignment horizontal="center" vertical="center" wrapText="1"/>
      <protection hidden="1"/>
    </xf>
    <xf numFmtId="0" fontId="0" fillId="21" borderId="0" xfId="0" applyFill="1"/>
    <xf numFmtId="166" fontId="0" fillId="21" borderId="0" xfId="0" applyNumberFormat="1" applyFill="1"/>
    <xf numFmtId="49" fontId="1" fillId="21" borderId="0" xfId="0" quotePrefix="1" applyNumberFormat="1" applyFont="1" applyFill="1" applyProtection="1"/>
    <xf numFmtId="0" fontId="0" fillId="24" borderId="0" xfId="0" applyFill="1"/>
    <xf numFmtId="49" fontId="1" fillId="24" borderId="0" xfId="0" quotePrefix="1" applyNumberFormat="1" applyFont="1" applyFill="1" applyProtection="1"/>
    <xf numFmtId="0" fontId="6" fillId="0" borderId="0" xfId="0" applyFont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5" fillId="0" borderId="2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2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vertical="center"/>
    </xf>
    <xf numFmtId="0" fontId="5" fillId="0" borderId="6" xfId="0" applyFont="1" applyBorder="1" applyAlignment="1">
      <alignment vertical="center"/>
    </xf>
    <xf numFmtId="14" fontId="0" fillId="0" borderId="2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9" fillId="14" borderId="0" xfId="0" applyFont="1" applyFill="1" applyAlignment="1">
      <alignment horizontal="center" vertical="center"/>
    </xf>
    <xf numFmtId="0" fontId="9" fillId="14" borderId="13" xfId="0" applyFont="1" applyFill="1" applyBorder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9" fillId="18" borderId="0" xfId="0" applyFont="1" applyFill="1" applyAlignment="1">
      <alignment horizontal="center" vertical="center"/>
    </xf>
    <xf numFmtId="0" fontId="6" fillId="11" borderId="1" xfId="0" applyFont="1" applyFill="1" applyBorder="1" applyAlignment="1">
      <alignment horizontal="center" vertical="center"/>
    </xf>
    <xf numFmtId="0" fontId="9" fillId="13" borderId="3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9" fillId="13" borderId="5" xfId="0" applyFont="1" applyFill="1" applyBorder="1" applyAlignment="1">
      <alignment horizontal="center" vertical="center"/>
    </xf>
    <xf numFmtId="0" fontId="9" fillId="15" borderId="3" xfId="0" applyFont="1" applyFill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0" fontId="9" fillId="15" borderId="5" xfId="0" applyFont="1" applyFill="1" applyBorder="1" applyAlignment="1">
      <alignment horizontal="center" vertical="center"/>
    </xf>
    <xf numFmtId="0" fontId="9" fillId="16" borderId="3" xfId="0" applyFont="1" applyFill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0" fontId="9" fillId="16" borderId="5" xfId="0" applyFont="1" applyFill="1" applyBorder="1" applyAlignment="1">
      <alignment horizontal="center" vertical="center"/>
    </xf>
    <xf numFmtId="0" fontId="9" fillId="14" borderId="9" xfId="0" applyFont="1" applyFill="1" applyBorder="1" applyAlignment="1">
      <alignment horizontal="center" vertical="center" wrapText="1"/>
    </xf>
    <xf numFmtId="0" fontId="9" fillId="14" borderId="14" xfId="0" applyFont="1" applyFill="1" applyBorder="1" applyAlignment="1">
      <alignment horizontal="center" vertical="center" wrapText="1"/>
    </xf>
    <xf numFmtId="0" fontId="9" fillId="14" borderId="11" xfId="0" applyFont="1" applyFill="1" applyBorder="1" applyAlignment="1">
      <alignment horizontal="center" vertical="center" wrapText="1"/>
    </xf>
    <xf numFmtId="0" fontId="9" fillId="14" borderId="12" xfId="0" applyFont="1" applyFill="1" applyBorder="1" applyAlignment="1">
      <alignment horizontal="center" vertical="center" wrapText="1"/>
    </xf>
    <xf numFmtId="0" fontId="9" fillId="14" borderId="0" xfId="0" applyFont="1" applyFill="1" applyBorder="1" applyAlignment="1">
      <alignment horizontal="center" vertical="center" wrapText="1"/>
    </xf>
    <xf numFmtId="0" fontId="9" fillId="14" borderId="15" xfId="0" applyFont="1" applyFill="1" applyBorder="1" applyAlignment="1">
      <alignment horizontal="center" vertical="center" wrapText="1"/>
    </xf>
    <xf numFmtId="0" fontId="9" fillId="13" borderId="1" xfId="0" applyFont="1" applyFill="1" applyBorder="1" applyAlignment="1">
      <alignment horizontal="center" vertical="center" wrapText="1"/>
    </xf>
    <xf numFmtId="0" fontId="6" fillId="12" borderId="9" xfId="0" applyFont="1" applyFill="1" applyBorder="1" applyAlignment="1">
      <alignment horizontal="center" vertical="center" wrapText="1"/>
    </xf>
    <xf numFmtId="0" fontId="6" fillId="12" borderId="14" xfId="0" applyFont="1" applyFill="1" applyBorder="1" applyAlignment="1">
      <alignment horizontal="center" vertical="center" wrapText="1"/>
    </xf>
    <xf numFmtId="0" fontId="6" fillId="12" borderId="14" xfId="0" applyFont="1" applyFill="1" applyBorder="1" applyAlignment="1">
      <alignment horizontal="center" vertical="center"/>
    </xf>
    <xf numFmtId="0" fontId="6" fillId="12" borderId="11" xfId="0" applyFont="1" applyFill="1" applyBorder="1" applyAlignment="1">
      <alignment horizontal="center" vertical="center"/>
    </xf>
    <xf numFmtId="0" fontId="6" fillId="12" borderId="10" xfId="0" applyFont="1" applyFill="1" applyBorder="1" applyAlignment="1">
      <alignment horizontal="center" vertical="center"/>
    </xf>
    <xf numFmtId="0" fontId="6" fillId="12" borderId="13" xfId="0" applyFont="1" applyFill="1" applyBorder="1" applyAlignment="1">
      <alignment horizontal="center" vertical="center"/>
    </xf>
    <xf numFmtId="0" fontId="6" fillId="12" borderId="7" xfId="0" applyFont="1" applyFill="1" applyBorder="1" applyAlignment="1">
      <alignment horizontal="center" vertical="center"/>
    </xf>
    <xf numFmtId="0" fontId="6" fillId="10" borderId="9" xfId="0" applyFont="1" applyFill="1" applyBorder="1" applyAlignment="1">
      <alignment horizontal="center" vertical="center" wrapText="1"/>
    </xf>
    <xf numFmtId="0" fontId="6" fillId="10" borderId="14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/>
    </xf>
    <xf numFmtId="0" fontId="6" fillId="10" borderId="10" xfId="0" applyFont="1" applyFill="1" applyBorder="1" applyAlignment="1">
      <alignment horizontal="center" vertical="center"/>
    </xf>
    <xf numFmtId="0" fontId="6" fillId="10" borderId="13" xfId="0" applyFont="1" applyFill="1" applyBorder="1" applyAlignment="1">
      <alignment horizontal="center" vertical="center"/>
    </xf>
    <xf numFmtId="0" fontId="6" fillId="10" borderId="7" xfId="0" applyFont="1" applyFill="1" applyBorder="1" applyAlignment="1">
      <alignment horizontal="center" vertical="center"/>
    </xf>
    <xf numFmtId="0" fontId="9" fillId="17" borderId="0" xfId="0" applyFont="1" applyFill="1" applyAlignment="1" applyProtection="1">
      <alignment horizontal="center" vertical="center"/>
    </xf>
    <xf numFmtId="0" fontId="9" fillId="6" borderId="0" xfId="0" applyFont="1" applyFill="1" applyAlignment="1" applyProtection="1">
      <alignment horizontal="center" vertical="center"/>
    </xf>
    <xf numFmtId="0" fontId="9" fillId="7" borderId="0" xfId="0" applyFont="1" applyFill="1" applyAlignment="1" applyProtection="1">
      <alignment horizontal="center" vertical="center"/>
    </xf>
    <xf numFmtId="0" fontId="9" fillId="0" borderId="0" xfId="0" applyFont="1" applyAlignment="1" applyProtection="1">
      <alignment horizontal="center" vertical="center"/>
    </xf>
  </cellXfs>
  <cellStyles count="4">
    <cellStyle name="60% - Accent1" xfId="2" builtinId="32"/>
    <cellStyle name="Check Cell" xfId="3" builtinId="23"/>
    <cellStyle name="Neutral" xfId="1" builtinId="28"/>
    <cellStyle name="Normal" xfId="0" builtinId="0"/>
  </cellStyles>
  <dxfs count="204">
    <dxf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numFmt numFmtId="168" formatCode="dd/mm/yy;@"/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center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numFmt numFmtId="168" formatCode="dd/mm/yy;@"/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 style="medium">
          <color indexed="64"/>
        </left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border>
        <top style="double">
          <color rgb="FF3F3F3F"/>
        </top>
      </border>
    </dxf>
    <dxf>
      <border diagonalUp="0" diagonalDown="0">
        <top style="double">
          <color rgb="FF3F3F3F"/>
        </top>
        <bottom style="double">
          <color indexed="64"/>
        </bottom>
      </border>
    </dxf>
    <dxf>
      <alignment horizontal="general" vertical="bottom" textRotation="0" wrapText="1" indent="0" justifyLastLine="0" shrinkToFit="0" readingOrder="0"/>
    </dxf>
    <dxf>
      <border>
        <bottom style="double">
          <color rgb="FF3F3F3F"/>
        </bottom>
      </border>
    </dxf>
    <dxf>
      <alignment horizontal="general" vertical="bottom" textRotation="0" wrapText="1" indent="0" justifyLastLine="0" shrinkToFit="0" readingOrder="0"/>
    </dxf>
    <dxf>
      <fill>
        <patternFill>
          <bgColor rgb="FFF62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numFmt numFmtId="165" formatCode="m/d/yyyy"/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alignment horizontal="general" vertical="bottom" textRotation="0" wrapText="1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C000"/>
        </patternFill>
      </fill>
      <alignment horizontal="general" vertical="bottom" textRotation="0" wrapText="1" indent="0" justifyLastLine="0" shrinkToFit="0" readingOrder="0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00B0F0"/>
        </patternFill>
      </fill>
      <alignment horizontal="general" vertical="bottom" textRotation="0" wrapText="1" indent="0" justifyLastLine="0" shrinkToFit="0" readingOrder="0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rgb="FFFFFF9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m/d/yyyy"/>
      <fill>
        <patternFill patternType="solid">
          <fgColor indexed="64"/>
          <bgColor rgb="FFFFFF33"/>
        </patternFill>
      </fill>
      <protection locked="1" hidden="0"/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protection locked="0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0"/>
    </dxf>
    <dxf>
      <protection locked="1" hidden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solid">
          <fgColor indexed="64"/>
          <bgColor theme="5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30" formatCode="@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5" formatCode="m/d/yyyy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5" formatCode="m/d/yyyy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30" formatCode="@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m/d/yyyy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C000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7" formatCode="[$-809]dd\ mmmm\ yyyy;@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numFmt numFmtId="167" formatCode="[$-809]dd\ mmmm\ yyyy;@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831850</xdr:colOff>
          <xdr:row>0</xdr:row>
          <xdr:rowOff>69850</xdr:rowOff>
        </xdr:from>
        <xdr:to>
          <xdr:col>1</xdr:col>
          <xdr:colOff>488950</xdr:colOff>
          <xdr:row>1</xdr:row>
          <xdr:rowOff>146050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527050</xdr:colOff>
          <xdr:row>0</xdr:row>
          <xdr:rowOff>107950</xdr:rowOff>
        </xdr:from>
        <xdr:to>
          <xdr:col>12</xdr:col>
          <xdr:colOff>336550</xdr:colOff>
          <xdr:row>1</xdr:row>
          <xdr:rowOff>146050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Membranes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450850</xdr:colOff>
          <xdr:row>0</xdr:row>
          <xdr:rowOff>76200</xdr:rowOff>
        </xdr:from>
        <xdr:to>
          <xdr:col>22</xdr:col>
          <xdr:colOff>298450</xdr:colOff>
          <xdr:row>1</xdr:row>
          <xdr:rowOff>152400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342900</xdr:colOff>
          <xdr:row>0</xdr:row>
          <xdr:rowOff>31750</xdr:rowOff>
        </xdr:from>
        <xdr:to>
          <xdr:col>35</xdr:col>
          <xdr:colOff>603250</xdr:colOff>
          <xdr:row>1</xdr:row>
          <xdr:rowOff>146050</xdr:rowOff>
        </xdr:to>
        <xdr:sp macro="" textlink="">
          <xdr:nvSpPr>
            <xdr:cNvPr id="12308" name="Button 20" hidden="1">
              <a:extLst>
                <a:ext uri="{63B3BB69-23CF-44E3-9099-C40C66FF867C}">
                  <a14:compatExt spid="_x0000_s12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717550</xdr:colOff>
          <xdr:row>0</xdr:row>
          <xdr:rowOff>76200</xdr:rowOff>
        </xdr:from>
        <xdr:to>
          <xdr:col>33</xdr:col>
          <xdr:colOff>527050</xdr:colOff>
          <xdr:row>1</xdr:row>
          <xdr:rowOff>146050</xdr:rowOff>
        </xdr:to>
        <xdr:sp macro="" textlink="">
          <xdr:nvSpPr>
            <xdr:cNvPr id="12330" name="Button 42" hidden="1">
              <a:extLst>
                <a:ext uri="{63B3BB69-23CF-44E3-9099-C40C66FF867C}">
                  <a14:compatExt spid="_x0000_s12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Release Failure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222250</xdr:colOff>
          <xdr:row>0</xdr:row>
          <xdr:rowOff>260350</xdr:rowOff>
        </xdr:from>
        <xdr:to>
          <xdr:col>1</xdr:col>
          <xdr:colOff>1022350</xdr:colOff>
          <xdr:row>1</xdr:row>
          <xdr:rowOff>31750</xdr:rowOff>
        </xdr:to>
        <xdr:sp macro="" textlink="">
          <xdr:nvSpPr>
            <xdr:cNvPr id="9226" name="Button 10" hidden="1">
              <a:extLst>
                <a:ext uri="{63B3BB69-23CF-44E3-9099-C40C66FF867C}">
                  <a14:compatExt spid="_x0000_s9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0</xdr:row>
          <xdr:rowOff>107950</xdr:rowOff>
        </xdr:from>
        <xdr:to>
          <xdr:col>9</xdr:col>
          <xdr:colOff>412750</xdr:colOff>
          <xdr:row>0</xdr:row>
          <xdr:rowOff>381000</xdr:rowOff>
        </xdr:to>
        <xdr:sp macro="" textlink="">
          <xdr:nvSpPr>
            <xdr:cNvPr id="9238" name="Button 22" hidden="1">
              <a:extLst>
                <a:ext uri="{63B3BB69-23CF-44E3-9099-C40C66FF867C}">
                  <a14:compatExt spid="_x0000_s9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Castings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107950</xdr:colOff>
          <xdr:row>0</xdr:row>
          <xdr:rowOff>69850</xdr:rowOff>
        </xdr:from>
        <xdr:to>
          <xdr:col>16</xdr:col>
          <xdr:colOff>374650</xdr:colOff>
          <xdr:row>0</xdr:row>
          <xdr:rowOff>374650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Wellglass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0</xdr:row>
          <xdr:rowOff>107950</xdr:rowOff>
        </xdr:from>
        <xdr:to>
          <xdr:col>23</xdr:col>
          <xdr:colOff>679450</xdr:colOff>
          <xdr:row>0</xdr:row>
          <xdr:rowOff>374650</xdr:rowOff>
        </xdr:to>
        <xdr:sp macro="" textlink="">
          <xdr:nvSpPr>
            <xdr:cNvPr id="9255" name="Button 39" hidden="1">
              <a:extLst>
                <a:ext uri="{63B3BB69-23CF-44E3-9099-C40C66FF867C}">
                  <a14:compatExt spid="_x0000_s9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Preassembly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114300</xdr:colOff>
          <xdr:row>0</xdr:row>
          <xdr:rowOff>260350</xdr:rowOff>
        </xdr:from>
        <xdr:to>
          <xdr:col>38</xdr:col>
          <xdr:colOff>412750</xdr:colOff>
          <xdr:row>1</xdr:row>
          <xdr:rowOff>184150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Generic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381000</xdr:colOff>
          <xdr:row>0</xdr:row>
          <xdr:rowOff>260350</xdr:rowOff>
        </xdr:from>
        <xdr:to>
          <xdr:col>45</xdr:col>
          <xdr:colOff>298450</xdr:colOff>
          <xdr:row>1</xdr:row>
          <xdr:rowOff>107950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Assign to Project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527050</xdr:colOff>
          <xdr:row>0</xdr:row>
          <xdr:rowOff>107950</xdr:rowOff>
        </xdr:from>
        <xdr:to>
          <xdr:col>1</xdr:col>
          <xdr:colOff>869950</xdr:colOff>
          <xdr:row>2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412750</xdr:colOff>
          <xdr:row>0</xdr:row>
          <xdr:rowOff>107950</xdr:rowOff>
        </xdr:from>
        <xdr:to>
          <xdr:col>23</xdr:col>
          <xdr:colOff>374650</xdr:colOff>
          <xdr:row>1</xdr:row>
          <xdr:rowOff>146050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228600</xdr:colOff>
          <xdr:row>0</xdr:row>
          <xdr:rowOff>107950</xdr:rowOff>
        </xdr:from>
        <xdr:to>
          <xdr:col>37</xdr:col>
          <xdr:colOff>146050</xdr:colOff>
          <xdr:row>1</xdr:row>
          <xdr:rowOff>146050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31750</xdr:colOff>
          <xdr:row>0</xdr:row>
          <xdr:rowOff>76200</xdr:rowOff>
        </xdr:from>
        <xdr:to>
          <xdr:col>32</xdr:col>
          <xdr:colOff>0</xdr:colOff>
          <xdr:row>1</xdr:row>
          <xdr:rowOff>107950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Release Failure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VAP100AE" displayName="VAP100AE" ref="A3:J10" totalsRowShown="0" headerRowDxfId="203" dataDxfId="202" tableBorderDxfId="201">
  <autoFilter ref="A3:J10"/>
  <tableColumns count="10">
    <tableColumn id="1" name="Date Delivered" dataDxfId="200"/>
    <tableColumn id="2" name="PSC Vodec Purchase Order Number" dataDxfId="199"/>
    <tableColumn id="9" name="Type" dataDxfId="198"/>
    <tableColumn id="3" name="Sub-contractor Serial Number" dataDxfId="197"/>
    <tableColumn id="4" name="Assigned" dataDxfId="196">
      <calculatedColumnFormula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calculatedColumnFormula>
    </tableColumn>
    <tableColumn id="5" name="Delivery Received &amp; Filed" dataDxfId="195"/>
    <tableColumn id="6" name="QAI0005" dataDxfId="194"/>
    <tableColumn id="7" name="TP0054" dataDxfId="193"/>
    <tableColumn id="10" name="Availability VAP100A" dataDxfId="192">
      <calculatedColumnFormula>IF(VAP100AE[[#This Row],[Type]]="VAP100A",IF(VAP100AE[[#This Row],[TP0054]]="PASS",IF(E4=0,IF(E4="","",D4),""),""),"")</calculatedColumnFormula>
    </tableColumn>
    <tableColumn id="8" name="Availability VAP100E" dataDxfId="191">
      <calculatedColumnFormula>IF(VAP100AE[[#This Row],[Type]]="VAP100E",IF(VAP100AE[[#This Row],[TP0054]]="PASS",IF(E4=0,IF(E4="","",D4),""),""),"")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Membranes" displayName="Membranes" ref="K3:T7" totalsRowShown="0" headerRowDxfId="190" dataDxfId="189">
  <autoFilter ref="K3:T7"/>
  <tableColumns count="10">
    <tableColumn id="1" name="Date" dataDxfId="188"/>
    <tableColumn id="2" name="PSC PO No" dataDxfId="187"/>
    <tableColumn id="3" name="Type" dataDxfId="186"/>
    <tableColumn id="4" name="Sub-contractor SN" dataDxfId="185"/>
    <tableColumn id="5" name="Assigned" dataDxfId="184">
      <calculatedColumnFormula>IF(AND(COUNTIF(Assembly[Membrane SN],Membranes[[#This Row],[Sub-contractor SN]])=1,Membranes[[#This Row],[QAI0006]]="PASS"),1,0)</calculatedColumnFormula>
    </tableColumn>
    <tableColumn id="6" name="Delivery Received &amp; Filed" dataDxfId="183"/>
    <tableColumn id="7" name="QAI0006" dataDxfId="182"/>
    <tableColumn id="10" name="TP0095" dataDxfId="181"/>
    <tableColumn id="9" name="Availability DX3MC16" dataDxfId="180">
      <calculatedColumnFormula>IF(Membranes[[#This Row],[Type]]="DX3MC16",IF(Membranes[[#This Row],[TP0095]]="PASS",IF(Membranes[[#This Row],[Assigned]]=0,IF(Membranes[[#This Row],[Assigned]]="","",Membranes[[#This Row],[Sub-contractor SN]]),""),""),"")</calculatedColumnFormula>
    </tableColumn>
    <tableColumn id="8" name="Availability VAP30" dataDxfId="179">
      <calculatedColumnFormula>IF(Membranes[[#This Row],[Type]]="VAP30",IF(Membranes[[#This Row],[TP0095]]="PASS",IF(Membranes[[#This Row],[Assigned]]=0,IF(Membranes[[#This Row],[Assigned]]="","",Membranes[[#This Row],[Sub-contractor SN]]),""),""),"")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0" name="Assembly" displayName="Assembly" ref="U3:AH7" totalsRowShown="0" headerRowDxfId="178" dataDxfId="177">
  <autoFilter ref="U3:AH7"/>
  <tableColumns count="14">
    <tableColumn id="1" name="ID" dataDxfId="176"/>
    <tableColumn id="2" name="Date" dataDxfId="175"/>
    <tableColumn id="3" name="Type" dataDxfId="174"/>
    <tableColumn id="4" name="Membrane SN" dataDxfId="173"/>
    <tableColumn id="5" name="VAP100 SN 1" dataDxfId="172"/>
    <tableColumn id="6" name="VAP100 SN 2" dataDxfId="171"/>
    <tableColumn id="7" name="TP0094/96" dataDxfId="170"/>
    <tableColumn id="8" name="QAI0008/9" dataDxfId="169"/>
    <tableColumn id="9" name="Assigned" dataDxfId="168">
      <calculatedColumnFormula>IF(AND(COUNTIF(VAP_Destination[ID/SN],Assembly[[#This Row],[ID]])=1,Assembly[[#This Row],[TP0094/96]]="PASS",Assembly[[#This Row],[QAI0008/9]]="PASS"),1,0)</calculatedColumnFormula>
    </tableColumn>
    <tableColumn id="14" name="Availability DX3MC16" dataDxfId="167">
      <calculatedColumnFormula>IF(Assembly[[#This Row],[Type]]="DX3MC16",IF(AND(Assembly[[#This Row],[TP0094/96]]="PASS",Assembly[[#This Row],[QAI0008/9]]="PASS"),IF(Assembly[[#This Row],[Assigned]]=0,IF(Assembly[[#This Row],[Assigned]]="","",Assembly[[#This Row],[ID]]),""),""),"")</calculatedColumnFormula>
    </tableColumn>
    <tableColumn id="13" name="Availability VAP30 A1" dataDxfId="166">
      <calculatedColumnFormula>IF(Assembly[[#This Row],[Type]]="VAP30 A1",IF(AND(Assembly[[#This Row],[TP0094/96]]="PASS",Assembly[[#This Row],[QAI0008/9]]="PASS"),IF(Assembly[[#This Row],[Assigned]]=0,IF(Assembly[[#This Row],[Assigned]]="","",Assembly[[#This Row],[ID]]),""),""),"")</calculatedColumnFormula>
    </tableColumn>
    <tableColumn id="12" name="Availability VAP30 A2" dataDxfId="165">
      <calculatedColumnFormula>IF(Assembly[[#This Row],[Type]]="VAP30 A2",IF(AND(Assembly[[#This Row],[TP0094/96]]="PASS",Assembly[[#This Row],[QAI0008/9]]="PASS"),IF(Assembly[[#This Row],[Assigned]]=0,IF(Assembly[[#This Row],[Assigned]]="","",Assembly[[#This Row],[ID]]),""),""),"")</calculatedColumnFormula>
    </tableColumn>
    <tableColumn id="11" name="Availability VAP30 E1" dataDxfId="164">
      <calculatedColumnFormula>IF(Assembly[[#This Row],[Type]]="VAP30 E1",IF(AND(Assembly[[#This Row],[TP0094/96]]="PASS",Assembly[[#This Row],[QAI0008/9]]="PASS"),IF(Assembly[[#This Row],[Assigned]]=0,IF(Assembly[[#This Row],[Assigned]]="","",Assembly[[#This Row],[ID]]),""),""),"")</calculatedColumnFormula>
    </tableColumn>
    <tableColumn id="10" name="Availability VAP30 E2" dataDxfId="163">
      <calculatedColumnFormula>IF(Assembly[[#This Row],[Type]]="VAP30 E2",IF(AND(Assembly[[#This Row],[TP0094/96]]="PASS",Assembly[[#This Row],[QAI0008/9]]="PASS"),IF(Assembly[[#This Row],[Assigned]]=0,IF(Assembly[[#This Row],[Assigned]]="","",Assembly[[#This Row],[ID]]),""),""),"")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1" name="VAP_Destination" displayName="VAP_Destination" ref="AI3:AT7" totalsRowShown="0" headerRowDxfId="162" dataDxfId="160" headerRowBorderDxfId="161">
  <autoFilter ref="AI3:AT7"/>
  <tableColumns count="12">
    <tableColumn id="1" name="PSC Vodec Serial Number" dataDxfId="159"/>
    <tableColumn id="11" name="Panel Type" dataDxfId="158"/>
    <tableColumn id="12" name="ATEX/IECEx?" dataDxfId="157"/>
    <tableColumn id="2" name="ID/SN" dataDxfId="156"/>
    <tableColumn id="3" name="W/O " dataDxfId="155"/>
    <tableColumn id="4" name="Project Name" dataDxfId="154"/>
    <tableColumn id="5" name="Sales Office" dataDxfId="153"/>
    <tableColumn id="6" name="Despatch Date" dataDxfId="152"/>
    <tableColumn id="7" name="Outwards Documentation" dataDxfId="151"/>
    <tableColumn id="8" name="NCR # (if applicable)" dataDxfId="150"/>
    <tableColumn id="9" name="RMA # (if applicable)" dataDxfId="149"/>
    <tableColumn id="10" name="Comment/Fault or Recall" dataDxfId="14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4" name="VB3_PCB" displayName="VB3_PCB" ref="A3:H9" totalsRowShown="0" headerRowDxfId="147" dataDxfId="145" headerRowBorderDxfId="146" tableBorderDxfId="144">
  <autoFilter ref="A3:H9"/>
  <tableColumns count="8">
    <tableColumn id="1" name="Date Delivered" dataDxfId="143"/>
    <tableColumn id="2" name="Bartec Vodec Purchase Order Number" dataDxfId="142"/>
    <tableColumn id="3" name="Sub-contractor Serial Number" dataDxfId="141"/>
    <tableColumn id="8" name="Assigned" dataDxfId="140">
      <calculatedColumnFormula>IF(AND(COUNTIF('VB3'!$AM$4:$AM$4,C4)=1,VB3_PCB[[#This Row],[QAI0001]]="PASS",VB3_PCB[[#This Row],[TP0066]]="PASS"),1,0)</calculatedColumnFormula>
    </tableColumn>
    <tableColumn id="4" name="Delivery Received &amp; Filed" dataDxfId="139"/>
    <tableColumn id="5" name="QAI0001" dataDxfId="138"/>
    <tableColumn id="6" name="TP0066" dataDxfId="137"/>
    <tableColumn id="7" name="Availability List" dataDxfId="136">
      <calculatedColumnFormula>IF(G4="PASS",IF(D4=0,IF(D4="","",C4),""),"")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5" name="VB3_Castings" displayName="VB3_Castings" ref="I3:O4" totalsRowShown="0" headerRowDxfId="135" dataDxfId="133" headerRowBorderDxfId="134" tableBorderDxfId="132">
  <autoFilter ref="I3:O4"/>
  <tableColumns count="7">
    <tableColumn id="1" name="Date Delivered" dataDxfId="131"/>
    <tableColumn id="2" name="Bartec Vodec Purchase Order" dataDxfId="130"/>
    <tableColumn id="3" name="Delivery Received &amp; Filed" dataDxfId="129"/>
    <tableColumn id="6" name="Assigned" dataDxfId="128">
      <calculatedColumnFormula>IF(AND(COUNTIF('VB3'!$AD$4:$AD$4,M4)=1,VB3_Castings[[#This Row],[QAI0002]]="PASS"),1,0)</calculatedColumnFormula>
    </tableColumn>
    <tableColumn id="4" name="Component Serial Number" dataDxfId="127"/>
    <tableColumn id="5" name="QAI0002" dataDxfId="126"/>
    <tableColumn id="7" name="Availability List" dataDxfId="125">
      <calculatedColumnFormula>IF(N4="PASS",IF(L4=0,IF(L4="","",M4),""),"")</calculatedColumnFormula>
    </tableColumn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6" name="VB3_Wellglass" displayName="VB3_Wellglass" ref="P3:V4" totalsRowShown="0" headerRowDxfId="124" dataDxfId="122" headerRowBorderDxfId="123" tableBorderDxfId="121">
  <autoFilter ref="P3:V4"/>
  <tableColumns count="7">
    <tableColumn id="1" name="Date Delivered" dataDxfId="120"/>
    <tableColumn id="2" name="Bartec Vodec Purchase Order" dataDxfId="119"/>
    <tableColumn id="3" name="Delivery Received &amp; Filed" dataDxfId="118"/>
    <tableColumn id="6" name="Assigned" dataDxfId="117">
      <calculatedColumnFormula>IF(AND(COUNTIF('VB3'!$AE$4:$AE$4,T4)=1,VB3_Wellglass[[#This Row],[QAI0003]]="PASS"),1,0)</calculatedColumnFormula>
    </tableColumn>
    <tableColumn id="4" name="Component Serial Number" dataDxfId="116"/>
    <tableColumn id="5" name="QAI0003" dataDxfId="115"/>
    <tableColumn id="7" name="Availability List" dataDxfId="114">
      <calculatedColumnFormula>IF(U4="PASS",IF(S4=0,IF(S4="","",T4),""),"")</calculatedColumnFormula>
    </tableColumn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7" name="VB3_Preassembly" displayName="VB3_Preassembly" ref="W3:AI4" totalsRowShown="0" headerRowDxfId="113" dataDxfId="111" headerRowBorderDxfId="112" tableBorderDxfId="110">
  <autoFilter ref="W3:AI4"/>
  <tableColumns count="13">
    <tableColumn id="1" name="Preassembly ID" dataDxfId="109"/>
    <tableColumn id="12" name="Assigned" dataDxfId="108">
      <calculatedColumnFormula>IF(AND(COUNTIF('VB3'!$AN$4:$AN$4,W4)=1,VB3_Preassembly[[#This Row],[TP0065 Result]]="PASS"),1,0)</calculatedColumnFormula>
    </tableColumn>
    <tableColumn id="11" name="Availability List" dataDxfId="107">
      <calculatedColumnFormula>IF(AI4="PASS",IF(X4=0,IF(X4="","",W4),""),"")</calculatedColumnFormula>
    </tableColumn>
    <tableColumn id="2" name="Stycast Batch Part 1 Serial Number" dataDxfId="106"/>
    <tableColumn id="3" name="Stycast Batch Part 1 Date" dataDxfId="105"/>
    <tableColumn id="4" name="Stycast Batch Part 2 Serial Number" dataDxfId="104"/>
    <tableColumn id="5" name="Stycast Batch Part 2 Date" dataDxfId="103"/>
    <tableColumn id="6" name="Castings Serial Number" dataDxfId="102"/>
    <tableColumn id="7" name="Wellglass Serial Number" dataDxfId="101"/>
    <tableColumn id="8" name="Ambient Temp" dataDxfId="100"/>
    <tableColumn id="9" name="TP0065 Operative" dataDxfId="99"/>
    <tableColumn id="13" name="TP0065 Date" dataDxfId="98"/>
    <tableColumn id="10" name="TP0065 Result" dataDxfId="97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8" name="VB3_Generic_Assembly" displayName="VB3_Generic_Assembly" ref="AJ3:AQ4" totalsRowShown="0" headerRowDxfId="96" dataDxfId="94" headerRowBorderDxfId="95" tableBorderDxfId="93">
  <autoFilter ref="AJ3:AQ4"/>
  <tableColumns count="8">
    <tableColumn id="1" name="Internal ID" dataDxfId="92"/>
    <tableColumn id="7" name="Assigned" dataDxfId="91">
      <calculatedColumnFormula>IF(AND(COUNTIF('VB3'!$AS$4:$AS$4,AJ4)=1,VB3_Generic_Assembly[[#This Row],[TP0067]]="PASS",VB3_Generic_Assembly[[#This Row],[TP0069]]="PASS",VB3_Generic_Assembly[[#This Row],[QAI0004]]="PASS"),1,0)</calculatedColumnFormula>
    </tableColumn>
    <tableColumn id="6" name="Availability" dataDxfId="90">
      <calculatedColumnFormula>IF(AQ4="PASS",IF(AK4=0,IF(AK4="","",AJ4),""),"")</calculatedColumnFormula>
    </tableColumn>
    <tableColumn id="2" name="PCB Serial Number" dataDxfId="89"/>
    <tableColumn id="3" name="Preassembly ID" dataDxfId="88"/>
    <tableColumn id="8" name="TP0067" dataDxfId="87"/>
    <tableColumn id="4" name="TP0069" dataDxfId="86"/>
    <tableColumn id="5" name="QAI0004" dataDxfId="85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9" name="Destination" displayName="Destination" ref="AR3:BE4" totalsRowShown="0" headerRowBorderDxfId="84" tableBorderDxfId="83">
  <autoFilter ref="AR3:BE4"/>
  <tableColumns count="14">
    <tableColumn id="1" name="Bartec Vodec Serial Number" dataDxfId="82"/>
    <tableColumn id="2" name="VB3 Assembly ID" dataDxfId="81"/>
    <tableColumn id="3" name="Voltage" dataDxfId="80"/>
    <tableColumn id="4" name="Colour" dataDxfId="79"/>
    <tableColumn id="5" name="Torquing Up" dataDxfId="78"/>
    <tableColumn id="6" name="QAI0005" dataDxfId="77"/>
    <tableColumn id="7" name="W/O "/>
    <tableColumn id="8" name="Project Name"/>
    <tableColumn id="9" name="Sales Office"/>
    <tableColumn id="10" name="Despatch Date" dataDxfId="76"/>
    <tableColumn id="11" name="Outwards Documentation" dataDxfId="75"/>
    <tableColumn id="12" name="NCR # (if applicable)" dataDxfId="74"/>
    <tableColumn id="13" name="RMA # (if applicable)" dataDxfId="73"/>
    <tableColumn id="14" name="Comment/Fault or Recall" dataDxfId="72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12" name="VAP100B" displayName="VAP100B" ref="A3:H6" totalsRowShown="0" headerRowDxfId="71" dataDxfId="0">
  <autoFilter ref="A3:H6"/>
  <tableColumns count="8">
    <tableColumn id="1" name="Date Delivered" dataDxfId="8"/>
    <tableColumn id="2" name=" PSC Vodec Purchase Order Number" dataDxfId="7"/>
    <tableColumn id="3" name="Sub-contractor Serial Number" dataDxfId="6"/>
    <tableColumn id="4" name="Assigned" dataDxfId="5">
      <calculatedColumnFormula>IF(COUNTIFS(VAP01_Assembly[VAP100B SN],VAP100B[[#This Row],[Sub-contractor Serial Number]])=1,IF(AND(VAP100B[[#This Row],[QAI0010]]="PASS",VAP100B[[#This Row],[TP0041]]="PASS"),1,0),0)</calculatedColumnFormula>
    </tableColumn>
    <tableColumn id="5" name="Delivery Received &amp; Filed" dataDxfId="4"/>
    <tableColumn id="6" name="QAI0010" dataDxfId="3"/>
    <tableColumn id="7" name="TP0041" dataDxfId="2"/>
    <tableColumn id="8" name="Availability" dataDxfId="1">
      <calculatedColumnFormula>IF(AND(VAP100B[[#This Row],[QAI0010]]="PASS",VAP100B[[#This Row],[TP0041]]="PASS",VAP100B[[#This Row],[Assigned]]=0),VAP100B[[#This Row],[Sub-contractor Serial Number]],"")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13" name="Enclsoure" displayName="Enclsoure" ref="I3:U4" totalsRowShown="0" headerRowDxfId="70" dataDxfId="69">
  <autoFilter ref="I3:U4"/>
  <tableColumns count="13">
    <tableColumn id="1" name="Date Delivered" dataDxfId="68"/>
    <tableColumn id="2" name="Bartec Vodec Purchase Order Number" dataDxfId="67"/>
    <tableColumn id="3" name="Serial Number" dataDxfId="66"/>
    <tableColumn id="4" name="Type" dataDxfId="65"/>
    <tableColumn id="5" name="Assigned" dataDxfId="64"/>
    <tableColumn id="6" name="Delivery Received &amp; Filed" dataDxfId="63"/>
    <tableColumn id="7" name="QAI0011" dataDxfId="62"/>
    <tableColumn id="8" name="Availiability 11" dataDxfId="61"/>
    <tableColumn id="9" name="Availability 12" dataDxfId="60"/>
    <tableColumn id="10" name="Availability 13" dataDxfId="59"/>
    <tableColumn id="11" name="Availability 21" dataDxfId="58"/>
    <tableColumn id="12" name="Availability 22" dataDxfId="57"/>
    <tableColumn id="13" name="Availability 23" dataDxfId="56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14" name="VAP01_Assembly" displayName="VAP01_Assembly" ref="V3:AH6" totalsRowShown="0" headerRowDxfId="55" dataDxfId="54">
  <autoFilter ref="V3:AH6"/>
  <tableColumns count="13">
    <tableColumn id="1" name="ID" dataDxfId="53"/>
    <tableColumn id="3" name="Entry Date" dataDxfId="52"/>
    <tableColumn id="2" name="Type" dataDxfId="51"/>
    <tableColumn id="4" name="VAP100B SN" dataDxfId="50"/>
    <tableColumn id="5" name="TP0016" dataDxfId="49"/>
    <tableColumn id="6" name="QAI0011" dataDxfId="48"/>
    <tableColumn id="7" name="Assigned" dataDxfId="47">
      <calculatedColumnFormula>IF(AND(COUNTIF(VAP01_Destination[VAP01 ID], VAP01_Assembly[[#This Row],[ID]])=1,VAP01_Assembly[[#This Row],[TP0016]]="PASS",VAP01_Assembly[[#This Row],[QAI0011]]="PASS"),1,0)</calculatedColumnFormula>
    </tableColumn>
    <tableColumn id="8" name="Availability 11" dataDxfId="46">
      <calculatedColumnFormula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9" name="Availability 12" dataDxfId="45">
      <calculatedColumnFormula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0" name="Availability 13" dataDxfId="44">
      <calculatedColumnFormula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1" name="Availability 21" dataDxfId="43">
      <calculatedColumnFormula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2" name="Availability 22" dataDxfId="42">
      <calculatedColumnFormula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3" name="Availability 23" dataDxfId="41">
      <calculatedColumnFormula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15" name="VAP01_Destination" displayName="VAP01_Destination" ref="AI3:AT6" totalsRowShown="0" headerRowDxfId="40" dataDxfId="39">
  <autoFilter ref="AI3:AT6"/>
  <tableColumns count="12">
    <tableColumn id="1" name="PSC V SN" dataDxfId="38"/>
    <tableColumn id="12" name="VAP01 ID" dataDxfId="37"/>
    <tableColumn id="2" name="Type" dataDxfId="36"/>
    <tableColumn id="3" name="Ex Type" dataDxfId="35"/>
    <tableColumn id="4" name="WO No" dataDxfId="34"/>
    <tableColumn id="5" name="Project" dataDxfId="33"/>
    <tableColumn id="6" name="Sales Office" dataDxfId="32"/>
    <tableColumn id="7" name="Despatch Date" dataDxfId="31"/>
    <tableColumn id="8" name="Outwards Documentation" dataDxfId="30"/>
    <tableColumn id="9" name="NCR # (if applicable)" dataDxfId="29"/>
    <tableColumn id="10" name="RMA # (if applicable)" dataDxfId="28"/>
    <tableColumn id="11" name="Comment/Fault or Recall" dataDxfId="27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16" name="Change_Control" displayName="Change_Control" ref="A16:J67" totalsRowShown="0" headerRowDxfId="23" dataDxfId="21" headerRowBorderDxfId="22" tableBorderDxfId="20" totalsRowBorderDxfId="19" headerRowCellStyle="Check Cell">
  <autoFilter ref="A16:J67"/>
  <sortState ref="A17:J65">
    <sortCondition ref="A16:A65"/>
  </sortState>
  <tableColumns count="10">
    <tableColumn id="1" name="No" dataDxfId="18"/>
    <tableColumn id="11" name="Date" dataDxfId="17"/>
    <tableColumn id="3" name="Version" dataDxfId="16"/>
    <tableColumn id="4" name="Name" dataDxfId="15"/>
    <tableColumn id="2" name="Description" dataDxfId="14"/>
    <tableColumn id="7" name="Developer" dataDxfId="13"/>
    <tableColumn id="8" name="Status" dataDxfId="12"/>
    <tableColumn id="9" name="Released Version" dataDxfId="11"/>
    <tableColumn id="12" name="Date released" dataDxfId="10"/>
    <tableColumn id="14" name="Comments" dataDxfId="9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table" Target="../tables/table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table" Target="../tables/table7.xml"/><Relationship Id="rId2" Type="http://schemas.openxmlformats.org/officeDocument/2006/relationships/drawing" Target="../drawings/drawing2.xml"/><Relationship Id="rId16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11" Type="http://schemas.openxmlformats.org/officeDocument/2006/relationships/table" Target="../tables/table6.xml"/><Relationship Id="rId5" Type="http://schemas.openxmlformats.org/officeDocument/2006/relationships/ctrlProp" Target="../ctrlProps/ctrlProp7.xml"/><Relationship Id="rId15" Type="http://schemas.openxmlformats.org/officeDocument/2006/relationships/table" Target="../tables/table10.xml"/><Relationship Id="rId10" Type="http://schemas.openxmlformats.org/officeDocument/2006/relationships/table" Target="../tables/table5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11" Type="http://schemas.openxmlformats.org/officeDocument/2006/relationships/table" Target="../tables/table14.xml"/><Relationship Id="rId5" Type="http://schemas.openxmlformats.org/officeDocument/2006/relationships/ctrlProp" Target="../ctrlProps/ctrlProp13.xml"/><Relationship Id="rId10" Type="http://schemas.openxmlformats.org/officeDocument/2006/relationships/table" Target="../tables/table13.xml"/><Relationship Id="rId4" Type="http://schemas.openxmlformats.org/officeDocument/2006/relationships/ctrlProp" Target="../ctrlProps/ctrlProp12.xml"/><Relationship Id="rId9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200"/>
  <sheetViews>
    <sheetView zoomScaleNormal="100" workbookViewId="0">
      <pane xSplit="2" ySplit="4" topLeftCell="C1171" activePane="bottomRight" state="frozen"/>
      <selection pane="topRight" activeCell="B1" sqref="B1"/>
      <selection pane="bottomLeft" activeCell="A6" sqref="A6"/>
      <selection pane="bottomRight" activeCell="C1191" sqref="C1191"/>
    </sheetView>
  </sheetViews>
  <sheetFormatPr defaultRowHeight="12.5" x14ac:dyDescent="0.25"/>
  <cols>
    <col min="1" max="1" width="12.453125" style="13" customWidth="1"/>
    <col min="2" max="2" width="10.54296875" style="6" customWidth="1"/>
    <col min="3" max="3" width="30.54296875" style="23" bestFit="1" customWidth="1"/>
    <col min="4" max="4" width="11.54296875" style="13" customWidth="1"/>
    <col min="5" max="5" width="0.453125" style="13" hidden="1" customWidth="1"/>
    <col min="6" max="6" width="18" style="83" bestFit="1" customWidth="1"/>
    <col min="7" max="7" width="9.453125" style="13" customWidth="1"/>
    <col min="8" max="8" width="12.453125" style="13" bestFit="1" customWidth="1"/>
    <col min="9" max="9" width="10.453125" style="13" bestFit="1" customWidth="1"/>
    <col min="10" max="10" width="12" style="13" bestFit="1" customWidth="1"/>
    <col min="11" max="11" width="28.453125" customWidth="1"/>
  </cols>
  <sheetData>
    <row r="1" spans="1:11" ht="15.5" x14ac:dyDescent="0.35">
      <c r="A1" s="8"/>
      <c r="B1" s="79"/>
      <c r="C1" s="21"/>
      <c r="D1" s="8"/>
      <c r="E1" s="8"/>
      <c r="H1" s="8"/>
    </row>
    <row r="2" spans="1:11" ht="15.5" x14ac:dyDescent="0.35">
      <c r="A2" s="306" t="s">
        <v>1272</v>
      </c>
      <c r="B2" s="306"/>
      <c r="C2" s="306"/>
      <c r="D2" s="306"/>
      <c r="E2" s="306"/>
      <c r="F2" s="306"/>
      <c r="G2" s="306"/>
      <c r="H2" s="306"/>
      <c r="I2" s="306"/>
      <c r="J2" s="306"/>
      <c r="K2" s="306"/>
    </row>
    <row r="3" spans="1:11" ht="25" x14ac:dyDescent="0.5">
      <c r="A3" s="8"/>
      <c r="B3" s="1"/>
      <c r="C3" s="28"/>
      <c r="D3" s="8"/>
      <c r="E3" s="8"/>
      <c r="H3" s="8"/>
    </row>
    <row r="4" spans="1:11" s="74" customFormat="1" ht="51" customHeight="1" x14ac:dyDescent="0.25">
      <c r="A4" s="72" t="s">
        <v>1176</v>
      </c>
      <c r="B4" s="72" t="s">
        <v>213</v>
      </c>
      <c r="C4" s="72" t="s">
        <v>1177</v>
      </c>
      <c r="D4" s="73" t="s">
        <v>585</v>
      </c>
      <c r="E4" s="72" t="s">
        <v>214</v>
      </c>
      <c r="F4" s="72" t="s">
        <v>1178</v>
      </c>
      <c r="G4" s="72" t="s">
        <v>1173</v>
      </c>
      <c r="H4" s="73" t="s">
        <v>1172</v>
      </c>
      <c r="I4" s="72" t="s">
        <v>1175</v>
      </c>
      <c r="J4" s="72" t="s">
        <v>1174</v>
      </c>
      <c r="K4" s="72" t="s">
        <v>1225</v>
      </c>
    </row>
    <row r="5" spans="1:11" x14ac:dyDescent="0.25">
      <c r="A5" s="9">
        <v>153</v>
      </c>
      <c r="B5" s="2" t="s">
        <v>221</v>
      </c>
      <c r="C5" s="22" t="s">
        <v>223</v>
      </c>
      <c r="D5" s="82">
        <v>7070</v>
      </c>
      <c r="E5" s="14">
        <v>38622</v>
      </c>
      <c r="F5" s="64" t="s">
        <v>560</v>
      </c>
      <c r="G5" s="10"/>
      <c r="H5" s="91">
        <v>38596</v>
      </c>
      <c r="I5" s="10"/>
      <c r="J5" s="10"/>
      <c r="K5" s="3"/>
    </row>
    <row r="6" spans="1:11" x14ac:dyDescent="0.25">
      <c r="A6" s="9">
        <v>154</v>
      </c>
      <c r="B6" s="2" t="s">
        <v>221</v>
      </c>
      <c r="C6" s="22" t="s">
        <v>224</v>
      </c>
      <c r="D6" s="82">
        <v>7070</v>
      </c>
      <c r="E6" s="14">
        <v>38622</v>
      </c>
      <c r="F6" s="64" t="s">
        <v>560</v>
      </c>
      <c r="G6" s="10"/>
      <c r="H6" s="91">
        <v>38596</v>
      </c>
      <c r="I6" s="10"/>
      <c r="J6" s="10"/>
      <c r="K6" s="3"/>
    </row>
    <row r="7" spans="1:11" x14ac:dyDescent="0.25">
      <c r="A7" s="9">
        <v>155</v>
      </c>
      <c r="B7" s="2" t="s">
        <v>221</v>
      </c>
      <c r="C7" s="22" t="s">
        <v>225</v>
      </c>
      <c r="D7" s="82">
        <v>7150</v>
      </c>
      <c r="E7" s="14">
        <v>38796</v>
      </c>
      <c r="F7" s="64" t="s">
        <v>562</v>
      </c>
      <c r="G7" s="10"/>
      <c r="H7" s="91">
        <v>38601</v>
      </c>
      <c r="I7" s="10"/>
      <c r="J7" s="10"/>
      <c r="K7" s="3"/>
    </row>
    <row r="8" spans="1:11" x14ac:dyDescent="0.25">
      <c r="A8" s="9">
        <v>156</v>
      </c>
      <c r="B8" s="2" t="s">
        <v>221</v>
      </c>
      <c r="C8" s="22" t="s">
        <v>226</v>
      </c>
      <c r="D8" s="82">
        <v>7117</v>
      </c>
      <c r="E8" s="14">
        <v>38890</v>
      </c>
      <c r="F8" s="64" t="s">
        <v>560</v>
      </c>
      <c r="G8" s="10"/>
      <c r="H8" s="91">
        <v>38628</v>
      </c>
      <c r="I8" s="10"/>
      <c r="J8" s="10"/>
      <c r="K8" s="3"/>
    </row>
    <row r="9" spans="1:11" x14ac:dyDescent="0.25">
      <c r="A9" s="9">
        <v>157</v>
      </c>
      <c r="B9" s="2" t="s">
        <v>221</v>
      </c>
      <c r="C9" s="22" t="s">
        <v>227</v>
      </c>
      <c r="D9" s="82">
        <v>7070</v>
      </c>
      <c r="E9" s="14">
        <v>38622</v>
      </c>
      <c r="F9" s="64" t="s">
        <v>560</v>
      </c>
      <c r="G9" s="10"/>
      <c r="H9" s="91">
        <v>38596</v>
      </c>
      <c r="I9" s="10"/>
      <c r="J9" s="10"/>
      <c r="K9" s="3"/>
    </row>
    <row r="10" spans="1:11" x14ac:dyDescent="0.25">
      <c r="A10" s="9">
        <v>158</v>
      </c>
      <c r="B10" s="2" t="s">
        <v>221</v>
      </c>
      <c r="C10" s="22" t="s">
        <v>228</v>
      </c>
      <c r="D10" s="82">
        <v>7070</v>
      </c>
      <c r="E10" s="14">
        <v>38622</v>
      </c>
      <c r="F10" s="64" t="s">
        <v>560</v>
      </c>
      <c r="G10" s="10"/>
      <c r="H10" s="91">
        <v>38596</v>
      </c>
      <c r="I10" s="10"/>
      <c r="J10" s="10"/>
      <c r="K10" s="3"/>
    </row>
    <row r="11" spans="1:11" x14ac:dyDescent="0.25">
      <c r="A11" s="9">
        <v>159</v>
      </c>
      <c r="B11" s="2" t="s">
        <v>221</v>
      </c>
      <c r="C11" s="22" t="s">
        <v>229</v>
      </c>
      <c r="D11" s="82">
        <v>7070</v>
      </c>
      <c r="E11" s="14">
        <v>38622</v>
      </c>
      <c r="F11" s="64" t="s">
        <v>560</v>
      </c>
      <c r="G11" s="10"/>
      <c r="H11" s="91">
        <v>38596</v>
      </c>
      <c r="I11" s="10"/>
      <c r="J11" s="10"/>
      <c r="K11" s="3"/>
    </row>
    <row r="12" spans="1:11" x14ac:dyDescent="0.25">
      <c r="A12" s="9">
        <v>160</v>
      </c>
      <c r="B12" s="2" t="s">
        <v>221</v>
      </c>
      <c r="C12" s="22" t="s">
        <v>230</v>
      </c>
      <c r="D12" s="82">
        <v>7070</v>
      </c>
      <c r="E12" s="14">
        <v>38622</v>
      </c>
      <c r="F12" s="64" t="s">
        <v>560</v>
      </c>
      <c r="G12" s="10"/>
      <c r="H12" s="91">
        <v>38596</v>
      </c>
      <c r="I12" s="10"/>
      <c r="J12" s="10"/>
      <c r="K12" s="3"/>
    </row>
    <row r="13" spans="1:11" x14ac:dyDescent="0.25">
      <c r="A13" s="9">
        <v>161</v>
      </c>
      <c r="B13" s="2" t="s">
        <v>221</v>
      </c>
      <c r="C13" s="22" t="s">
        <v>231</v>
      </c>
      <c r="D13" s="82">
        <v>7070</v>
      </c>
      <c r="E13" s="14">
        <v>38622</v>
      </c>
      <c r="F13" s="64" t="s">
        <v>560</v>
      </c>
      <c r="G13" s="10"/>
      <c r="H13" s="91">
        <v>38596</v>
      </c>
      <c r="I13" s="10"/>
      <c r="J13" s="10"/>
      <c r="K13" s="3"/>
    </row>
    <row r="14" spans="1:11" x14ac:dyDescent="0.25">
      <c r="A14" s="9">
        <v>162</v>
      </c>
      <c r="B14" s="2" t="s">
        <v>221</v>
      </c>
      <c r="C14" s="22" t="s">
        <v>232</v>
      </c>
      <c r="D14" s="82">
        <v>7070</v>
      </c>
      <c r="E14" s="14">
        <v>38622</v>
      </c>
      <c r="F14" s="64" t="s">
        <v>560</v>
      </c>
      <c r="G14" s="10"/>
      <c r="H14" s="91">
        <v>38596</v>
      </c>
      <c r="I14" s="10"/>
      <c r="J14" s="10"/>
      <c r="K14" s="3"/>
    </row>
    <row r="15" spans="1:11" x14ac:dyDescent="0.25">
      <c r="A15" s="9">
        <v>163</v>
      </c>
      <c r="B15" s="2" t="s">
        <v>221</v>
      </c>
      <c r="C15" s="22" t="s">
        <v>233</v>
      </c>
      <c r="D15" s="82">
        <v>7070</v>
      </c>
      <c r="E15" s="14">
        <v>38622</v>
      </c>
      <c r="F15" s="64" t="s">
        <v>560</v>
      </c>
      <c r="G15" s="10"/>
      <c r="H15" s="91">
        <v>38596</v>
      </c>
      <c r="I15" s="10"/>
      <c r="J15" s="10"/>
      <c r="K15" s="3"/>
    </row>
    <row r="16" spans="1:11" x14ac:dyDescent="0.25">
      <c r="A16" s="9">
        <v>164</v>
      </c>
      <c r="B16" s="2" t="s">
        <v>221</v>
      </c>
      <c r="C16" s="22" t="s">
        <v>234</v>
      </c>
      <c r="D16" s="82">
        <v>7070</v>
      </c>
      <c r="E16" s="14">
        <v>38622</v>
      </c>
      <c r="F16" s="64" t="s">
        <v>560</v>
      </c>
      <c r="G16" s="10"/>
      <c r="H16" s="91">
        <v>38596</v>
      </c>
      <c r="I16" s="10"/>
      <c r="J16" s="10"/>
      <c r="K16" s="3"/>
    </row>
    <row r="17" spans="1:11" x14ac:dyDescent="0.25">
      <c r="A17" s="9">
        <v>165</v>
      </c>
      <c r="B17" s="2" t="s">
        <v>221</v>
      </c>
      <c r="C17" s="22" t="s">
        <v>235</v>
      </c>
      <c r="D17" s="82">
        <v>7070</v>
      </c>
      <c r="E17" s="14">
        <v>38622</v>
      </c>
      <c r="F17" s="64" t="s">
        <v>560</v>
      </c>
      <c r="G17" s="10"/>
      <c r="H17" s="91">
        <v>38596</v>
      </c>
      <c r="I17" s="10"/>
      <c r="J17" s="10"/>
      <c r="K17" s="3"/>
    </row>
    <row r="18" spans="1:11" x14ac:dyDescent="0.25">
      <c r="A18" s="9">
        <v>166</v>
      </c>
      <c r="B18" s="2" t="s">
        <v>221</v>
      </c>
      <c r="C18" s="22" t="s">
        <v>236</v>
      </c>
      <c r="D18" s="82">
        <v>7070</v>
      </c>
      <c r="E18" s="14">
        <v>38622</v>
      </c>
      <c r="F18" s="64" t="s">
        <v>560</v>
      </c>
      <c r="G18" s="10"/>
      <c r="H18" s="91">
        <v>38596</v>
      </c>
      <c r="I18" s="10"/>
      <c r="J18" s="10"/>
      <c r="K18" s="3"/>
    </row>
    <row r="19" spans="1:11" x14ac:dyDescent="0.25">
      <c r="A19" s="9">
        <v>167</v>
      </c>
      <c r="B19" s="2" t="s">
        <v>221</v>
      </c>
      <c r="C19" s="22" t="s">
        <v>237</v>
      </c>
      <c r="D19" s="9">
        <v>7117</v>
      </c>
      <c r="E19" s="14">
        <v>38890</v>
      </c>
      <c r="F19" s="64" t="s">
        <v>560</v>
      </c>
      <c r="G19" s="10"/>
      <c r="H19" s="91">
        <v>38628</v>
      </c>
      <c r="I19" s="10"/>
      <c r="J19" s="10"/>
      <c r="K19" s="3"/>
    </row>
    <row r="20" spans="1:11" x14ac:dyDescent="0.25">
      <c r="A20" s="9">
        <v>168</v>
      </c>
      <c r="B20" s="2" t="s">
        <v>221</v>
      </c>
      <c r="C20" s="22" t="s">
        <v>238</v>
      </c>
      <c r="D20" s="9">
        <v>7133</v>
      </c>
      <c r="E20" s="14">
        <v>38782</v>
      </c>
      <c r="F20" s="83" t="s">
        <v>558</v>
      </c>
      <c r="G20" s="10"/>
      <c r="H20" s="91">
        <v>38628</v>
      </c>
      <c r="I20" s="10"/>
      <c r="J20" s="10"/>
      <c r="K20" s="3"/>
    </row>
    <row r="21" spans="1:11" x14ac:dyDescent="0.25">
      <c r="A21" s="9">
        <v>169</v>
      </c>
      <c r="B21" s="2" t="s">
        <v>221</v>
      </c>
      <c r="C21" s="22" t="s">
        <v>239</v>
      </c>
      <c r="D21" s="9">
        <v>7177</v>
      </c>
      <c r="E21" s="15">
        <v>38884</v>
      </c>
      <c r="F21" s="64" t="s">
        <v>562</v>
      </c>
      <c r="G21" s="10"/>
      <c r="H21" s="91">
        <v>38882</v>
      </c>
      <c r="I21" s="10"/>
      <c r="J21" s="10"/>
      <c r="K21" s="3"/>
    </row>
    <row r="22" spans="1:11" x14ac:dyDescent="0.25">
      <c r="A22" s="9">
        <v>170</v>
      </c>
      <c r="B22" s="2" t="s">
        <v>221</v>
      </c>
      <c r="C22" s="22" t="s">
        <v>240</v>
      </c>
      <c r="D22" s="9">
        <v>7133</v>
      </c>
      <c r="E22" s="14">
        <v>38782</v>
      </c>
      <c r="F22" s="64" t="s">
        <v>560</v>
      </c>
      <c r="G22" s="10"/>
      <c r="H22" s="91">
        <v>38628</v>
      </c>
      <c r="I22" s="10"/>
      <c r="J22" s="10"/>
      <c r="K22" s="3"/>
    </row>
    <row r="23" spans="1:11" x14ac:dyDescent="0.25">
      <c r="A23" s="9">
        <v>171</v>
      </c>
      <c r="B23" s="2" t="s">
        <v>221</v>
      </c>
      <c r="C23" s="22" t="s">
        <v>241</v>
      </c>
      <c r="D23" s="9">
        <v>7133</v>
      </c>
      <c r="E23" s="14">
        <v>38782</v>
      </c>
      <c r="F23" s="64" t="s">
        <v>560</v>
      </c>
      <c r="G23" s="10"/>
      <c r="H23" s="91">
        <v>38628</v>
      </c>
      <c r="I23" s="10"/>
      <c r="J23" s="10"/>
      <c r="K23" s="3"/>
    </row>
    <row r="24" spans="1:11" x14ac:dyDescent="0.25">
      <c r="A24" s="9">
        <v>172</v>
      </c>
      <c r="B24" s="2" t="s">
        <v>221</v>
      </c>
      <c r="C24" s="22" t="s">
        <v>242</v>
      </c>
      <c r="D24" s="9">
        <v>7124</v>
      </c>
      <c r="E24" s="15"/>
      <c r="F24" s="64" t="s">
        <v>560</v>
      </c>
      <c r="G24" s="10"/>
      <c r="H24" s="91">
        <v>38930</v>
      </c>
      <c r="I24" s="10"/>
      <c r="J24" s="10"/>
      <c r="K24" s="3"/>
    </row>
    <row r="25" spans="1:11" x14ac:dyDescent="0.25">
      <c r="A25" s="9">
        <v>173</v>
      </c>
      <c r="B25" s="2" t="s">
        <v>221</v>
      </c>
      <c r="C25" s="22" t="s">
        <v>243</v>
      </c>
      <c r="D25" s="9">
        <v>7133</v>
      </c>
      <c r="E25" s="14">
        <v>38782</v>
      </c>
      <c r="F25" s="64" t="s">
        <v>560</v>
      </c>
      <c r="G25" s="10"/>
      <c r="H25" s="91">
        <v>38628</v>
      </c>
      <c r="I25" s="10"/>
      <c r="J25" s="10"/>
      <c r="K25" s="3"/>
    </row>
    <row r="26" spans="1:11" x14ac:dyDescent="0.25">
      <c r="A26" s="9">
        <v>174</v>
      </c>
      <c r="B26" s="2" t="s">
        <v>221</v>
      </c>
      <c r="C26" s="22" t="s">
        <v>244</v>
      </c>
      <c r="D26" s="9">
        <v>7083</v>
      </c>
      <c r="E26" s="14">
        <v>38657</v>
      </c>
      <c r="F26" s="64" t="s">
        <v>561</v>
      </c>
      <c r="G26" s="10"/>
      <c r="H26" s="91">
        <v>38628</v>
      </c>
      <c r="I26" s="10"/>
      <c r="J26" s="10"/>
      <c r="K26" s="3"/>
    </row>
    <row r="27" spans="1:11" x14ac:dyDescent="0.25">
      <c r="A27" s="9">
        <v>175</v>
      </c>
      <c r="B27" s="2" t="s">
        <v>221</v>
      </c>
      <c r="C27" s="22" t="s">
        <v>245</v>
      </c>
      <c r="D27" s="9">
        <v>7083</v>
      </c>
      <c r="E27" s="14">
        <v>38657</v>
      </c>
      <c r="F27" s="64" t="s">
        <v>561</v>
      </c>
      <c r="G27" s="10"/>
      <c r="H27" s="91">
        <v>38628</v>
      </c>
      <c r="I27" s="10"/>
      <c r="J27" s="10"/>
      <c r="K27" s="3"/>
    </row>
    <row r="28" spans="1:11" x14ac:dyDescent="0.25">
      <c r="A28" s="9">
        <v>176</v>
      </c>
      <c r="B28" s="2" t="s">
        <v>221</v>
      </c>
      <c r="C28" s="22" t="s">
        <v>246</v>
      </c>
      <c r="D28" s="9">
        <v>7133</v>
      </c>
      <c r="E28" s="14">
        <v>38782</v>
      </c>
      <c r="F28" s="64" t="s">
        <v>560</v>
      </c>
      <c r="G28" s="10"/>
      <c r="H28" s="91">
        <v>38628</v>
      </c>
      <c r="I28" s="10"/>
      <c r="J28" s="10"/>
      <c r="K28" s="3"/>
    </row>
    <row r="29" spans="1:11" x14ac:dyDescent="0.25">
      <c r="A29" s="9">
        <v>177</v>
      </c>
      <c r="B29" s="2" t="s">
        <v>221</v>
      </c>
      <c r="C29" s="22" t="s">
        <v>247</v>
      </c>
      <c r="D29" s="9">
        <v>7133</v>
      </c>
      <c r="E29" s="14">
        <v>38782</v>
      </c>
      <c r="F29" s="64" t="s">
        <v>560</v>
      </c>
      <c r="G29" s="10"/>
      <c r="H29" s="91">
        <v>38628</v>
      </c>
      <c r="I29" s="10"/>
      <c r="J29" s="10"/>
      <c r="K29" s="3"/>
    </row>
    <row r="30" spans="1:11" x14ac:dyDescent="0.25">
      <c r="A30" s="10">
        <v>178</v>
      </c>
      <c r="B30" s="2" t="s">
        <v>221</v>
      </c>
      <c r="C30" s="24" t="s">
        <v>248</v>
      </c>
      <c r="D30" s="10">
        <v>7177</v>
      </c>
      <c r="E30" s="15">
        <v>38884</v>
      </c>
      <c r="F30" s="64" t="s">
        <v>562</v>
      </c>
      <c r="G30" s="10"/>
      <c r="H30" s="91">
        <v>38882</v>
      </c>
      <c r="I30" s="10"/>
      <c r="J30" s="10"/>
      <c r="K30" s="3"/>
    </row>
    <row r="31" spans="1:11" x14ac:dyDescent="0.25">
      <c r="A31" s="10">
        <v>179</v>
      </c>
      <c r="B31" s="2" t="s">
        <v>221</v>
      </c>
      <c r="C31" s="24" t="s">
        <v>249</v>
      </c>
      <c r="D31" s="9">
        <v>7133</v>
      </c>
      <c r="E31" s="14">
        <v>38782</v>
      </c>
      <c r="F31" s="64" t="s">
        <v>560</v>
      </c>
      <c r="G31" s="10"/>
      <c r="H31" s="91">
        <v>38628</v>
      </c>
      <c r="I31" s="10"/>
      <c r="J31" s="10"/>
      <c r="K31" s="3"/>
    </row>
    <row r="32" spans="1:11" x14ac:dyDescent="0.25">
      <c r="A32" s="10">
        <v>180</v>
      </c>
      <c r="B32" s="2" t="s">
        <v>221</v>
      </c>
      <c r="C32" s="24" t="s">
        <v>250</v>
      </c>
      <c r="D32" s="9">
        <v>7133</v>
      </c>
      <c r="E32" s="14">
        <v>38782</v>
      </c>
      <c r="F32" s="64" t="s">
        <v>560</v>
      </c>
      <c r="G32" s="10"/>
      <c r="H32" s="91">
        <v>38628</v>
      </c>
      <c r="I32" s="10"/>
      <c r="J32" s="10"/>
      <c r="K32" s="3"/>
    </row>
    <row r="33" spans="1:11" x14ac:dyDescent="0.25">
      <c r="A33" s="10">
        <v>181</v>
      </c>
      <c r="B33" s="2" t="s">
        <v>221</v>
      </c>
      <c r="C33" s="24" t="s">
        <v>251</v>
      </c>
      <c r="D33" s="9">
        <v>7133</v>
      </c>
      <c r="E33" s="14">
        <v>38782</v>
      </c>
      <c r="F33" s="64" t="s">
        <v>560</v>
      </c>
      <c r="G33" s="10"/>
      <c r="H33" s="91">
        <v>38628</v>
      </c>
      <c r="I33" s="10"/>
      <c r="J33" s="10"/>
      <c r="K33" s="3"/>
    </row>
    <row r="34" spans="1:11" x14ac:dyDescent="0.25">
      <c r="A34" s="10">
        <v>182</v>
      </c>
      <c r="B34" s="2" t="s">
        <v>221</v>
      </c>
      <c r="C34" s="24" t="s">
        <v>252</v>
      </c>
      <c r="D34" s="9">
        <v>7133</v>
      </c>
      <c r="E34" s="14">
        <v>38782</v>
      </c>
      <c r="F34" s="64" t="s">
        <v>560</v>
      </c>
      <c r="G34" s="10"/>
      <c r="H34" s="91">
        <v>38628</v>
      </c>
      <c r="I34" s="10"/>
      <c r="J34" s="10"/>
      <c r="K34" s="3"/>
    </row>
    <row r="35" spans="1:11" x14ac:dyDescent="0.25">
      <c r="A35" s="10">
        <v>186</v>
      </c>
      <c r="B35" s="2" t="s">
        <v>221</v>
      </c>
      <c r="C35" s="24" t="s">
        <v>253</v>
      </c>
      <c r="D35" s="10" t="s">
        <v>557</v>
      </c>
      <c r="E35" s="10"/>
      <c r="F35" s="64" t="s">
        <v>560</v>
      </c>
      <c r="G35" s="10"/>
      <c r="H35" s="91">
        <v>38766</v>
      </c>
      <c r="I35" s="10"/>
      <c r="J35" s="10"/>
      <c r="K35" s="3"/>
    </row>
    <row r="36" spans="1:11" x14ac:dyDescent="0.25">
      <c r="A36" s="10">
        <v>183</v>
      </c>
      <c r="B36" s="2" t="s">
        <v>221</v>
      </c>
      <c r="C36" s="24" t="s">
        <v>254</v>
      </c>
      <c r="D36" s="10">
        <v>7177</v>
      </c>
      <c r="E36" s="15">
        <v>38884</v>
      </c>
      <c r="F36" s="64" t="s">
        <v>562</v>
      </c>
      <c r="G36" s="10"/>
      <c r="H36" s="91">
        <v>38882</v>
      </c>
      <c r="I36" s="10"/>
      <c r="J36" s="10"/>
      <c r="K36" s="3"/>
    </row>
    <row r="37" spans="1:11" x14ac:dyDescent="0.25">
      <c r="A37" s="10">
        <v>185</v>
      </c>
      <c r="B37" s="2" t="s">
        <v>221</v>
      </c>
      <c r="C37" s="24" t="s">
        <v>255</v>
      </c>
      <c r="D37" s="10">
        <v>7083</v>
      </c>
      <c r="E37" s="15">
        <v>38657</v>
      </c>
      <c r="F37" s="64" t="s">
        <v>562</v>
      </c>
      <c r="G37" s="10"/>
      <c r="H37" s="91">
        <v>38628</v>
      </c>
      <c r="I37" s="10"/>
      <c r="J37" s="10"/>
      <c r="K37" s="3"/>
    </row>
    <row r="38" spans="1:11" x14ac:dyDescent="0.25">
      <c r="A38" s="10">
        <v>184</v>
      </c>
      <c r="B38" s="2" t="s">
        <v>221</v>
      </c>
      <c r="C38" s="24" t="s">
        <v>256</v>
      </c>
      <c r="D38" s="9">
        <v>7133</v>
      </c>
      <c r="E38" s="14">
        <v>38782</v>
      </c>
      <c r="F38" s="64" t="s">
        <v>560</v>
      </c>
      <c r="G38" s="10"/>
      <c r="H38" s="91">
        <v>38628</v>
      </c>
      <c r="I38" s="10"/>
      <c r="J38" s="10"/>
      <c r="K38" s="3"/>
    </row>
    <row r="39" spans="1:11" x14ac:dyDescent="0.25">
      <c r="A39" s="10">
        <v>187</v>
      </c>
      <c r="B39" s="33" t="s">
        <v>257</v>
      </c>
      <c r="C39" s="24" t="s">
        <v>258</v>
      </c>
      <c r="D39" s="10">
        <v>7081</v>
      </c>
      <c r="E39" s="10"/>
      <c r="F39" s="64" t="s">
        <v>564</v>
      </c>
      <c r="G39" s="10"/>
      <c r="H39" s="75">
        <v>38677</v>
      </c>
      <c r="I39" s="10"/>
      <c r="J39" s="10"/>
      <c r="K39" s="3"/>
    </row>
    <row r="40" spans="1:11" x14ac:dyDescent="0.25">
      <c r="A40" s="10">
        <v>188</v>
      </c>
      <c r="B40" s="4" t="s">
        <v>257</v>
      </c>
      <c r="C40" s="24" t="s">
        <v>259</v>
      </c>
      <c r="D40" s="10">
        <v>7106</v>
      </c>
      <c r="E40" s="10"/>
      <c r="F40" s="64" t="s">
        <v>564</v>
      </c>
      <c r="G40" s="10"/>
      <c r="H40" s="75">
        <v>38882</v>
      </c>
      <c r="I40" s="10"/>
      <c r="J40" s="10"/>
      <c r="K40" s="3"/>
    </row>
    <row r="41" spans="1:11" x14ac:dyDescent="0.25">
      <c r="A41" s="10">
        <v>189</v>
      </c>
      <c r="B41" s="4" t="s">
        <v>257</v>
      </c>
      <c r="C41" s="24" t="s">
        <v>260</v>
      </c>
      <c r="D41" s="10">
        <v>7081</v>
      </c>
      <c r="E41" s="10"/>
      <c r="F41" s="64" t="s">
        <v>564</v>
      </c>
      <c r="G41" s="10"/>
      <c r="H41" s="75">
        <v>38677</v>
      </c>
      <c r="I41" s="10"/>
      <c r="J41" s="10"/>
      <c r="K41" s="3"/>
    </row>
    <row r="42" spans="1:11" x14ac:dyDescent="0.25">
      <c r="A42" s="10">
        <v>190</v>
      </c>
      <c r="B42" s="4" t="s">
        <v>257</v>
      </c>
      <c r="C42" s="24" t="s">
        <v>261</v>
      </c>
      <c r="D42" s="10">
        <v>7081</v>
      </c>
      <c r="E42" s="10"/>
      <c r="F42" s="64" t="s">
        <v>564</v>
      </c>
      <c r="G42" s="10"/>
      <c r="H42" s="75">
        <v>38677</v>
      </c>
      <c r="I42" s="10"/>
      <c r="J42" s="10"/>
      <c r="K42" s="3"/>
    </row>
    <row r="43" spans="1:11" x14ac:dyDescent="0.25">
      <c r="A43" s="10">
        <v>191</v>
      </c>
      <c r="B43" s="4" t="s">
        <v>257</v>
      </c>
      <c r="C43" s="24" t="s">
        <v>262</v>
      </c>
      <c r="D43" s="10">
        <v>7081</v>
      </c>
      <c r="E43" s="10"/>
      <c r="F43" s="64" t="s">
        <v>564</v>
      </c>
      <c r="G43" s="10"/>
      <c r="H43" s="75">
        <v>38677</v>
      </c>
      <c r="I43" s="10"/>
      <c r="J43" s="10"/>
      <c r="K43" s="3"/>
    </row>
    <row r="44" spans="1:11" x14ac:dyDescent="0.25">
      <c r="A44" s="10">
        <v>192</v>
      </c>
      <c r="B44" s="4" t="s">
        <v>221</v>
      </c>
      <c r="C44" s="24" t="s">
        <v>263</v>
      </c>
      <c r="D44" s="10">
        <v>7168</v>
      </c>
      <c r="E44" s="10"/>
      <c r="F44" s="64" t="s">
        <v>560</v>
      </c>
      <c r="G44" s="10"/>
      <c r="H44" s="75">
        <v>39024</v>
      </c>
      <c r="I44" s="10"/>
      <c r="J44" s="10"/>
      <c r="K44" s="3"/>
    </row>
    <row r="45" spans="1:11" x14ac:dyDescent="0.25">
      <c r="A45" s="10">
        <v>193</v>
      </c>
      <c r="B45" s="4" t="s">
        <v>257</v>
      </c>
      <c r="C45" s="24" t="s">
        <v>264</v>
      </c>
      <c r="D45" s="10">
        <v>7182</v>
      </c>
      <c r="E45" s="15">
        <v>38919</v>
      </c>
      <c r="F45" s="64" t="s">
        <v>564</v>
      </c>
      <c r="G45" s="10"/>
      <c r="H45" s="75">
        <v>38929</v>
      </c>
      <c r="I45" s="10"/>
      <c r="J45" s="10"/>
      <c r="K45" s="3"/>
    </row>
    <row r="46" spans="1:11" x14ac:dyDescent="0.25">
      <c r="A46" s="10">
        <v>194</v>
      </c>
      <c r="B46" s="4" t="s">
        <v>221</v>
      </c>
      <c r="C46" s="24" t="s">
        <v>265</v>
      </c>
      <c r="D46" s="10" t="s">
        <v>557</v>
      </c>
      <c r="E46" s="15"/>
      <c r="F46" s="64" t="s">
        <v>560</v>
      </c>
      <c r="G46" s="10"/>
      <c r="H46" s="75">
        <v>38335</v>
      </c>
      <c r="I46" s="10"/>
      <c r="J46" s="10"/>
      <c r="K46" s="3"/>
    </row>
    <row r="47" spans="1:11" x14ac:dyDescent="0.25">
      <c r="A47" s="10">
        <v>195</v>
      </c>
      <c r="B47" s="4" t="s">
        <v>221</v>
      </c>
      <c r="C47" s="24" t="s">
        <v>266</v>
      </c>
      <c r="D47" s="10" t="s">
        <v>557</v>
      </c>
      <c r="E47" s="15"/>
      <c r="F47" s="64" t="s">
        <v>560</v>
      </c>
      <c r="G47" s="10"/>
      <c r="H47" s="75">
        <v>38335</v>
      </c>
      <c r="I47" s="10"/>
      <c r="J47" s="10"/>
      <c r="K47" s="3"/>
    </row>
    <row r="48" spans="1:11" x14ac:dyDescent="0.25">
      <c r="A48" s="10">
        <v>196</v>
      </c>
      <c r="B48" s="4" t="s">
        <v>221</v>
      </c>
      <c r="C48" s="24" t="s">
        <v>267</v>
      </c>
      <c r="D48" s="10" t="s">
        <v>557</v>
      </c>
      <c r="E48" s="15"/>
      <c r="F48" s="64" t="s">
        <v>560</v>
      </c>
      <c r="G48" s="10"/>
      <c r="H48" s="75">
        <v>38335</v>
      </c>
      <c r="I48" s="10"/>
      <c r="J48" s="10"/>
      <c r="K48" s="3"/>
    </row>
    <row r="49" spans="1:11" x14ac:dyDescent="0.25">
      <c r="A49" s="10">
        <v>197</v>
      </c>
      <c r="B49" s="4" t="s">
        <v>221</v>
      </c>
      <c r="C49" s="24" t="s">
        <v>268</v>
      </c>
      <c r="D49" s="10" t="s">
        <v>557</v>
      </c>
      <c r="E49" s="15"/>
      <c r="F49" s="64" t="s">
        <v>560</v>
      </c>
      <c r="G49" s="10"/>
      <c r="H49" s="75">
        <v>38335</v>
      </c>
      <c r="I49" s="10"/>
      <c r="J49" s="10"/>
      <c r="K49" s="3"/>
    </row>
    <row r="50" spans="1:11" x14ac:dyDescent="0.25">
      <c r="A50" s="10">
        <v>198</v>
      </c>
      <c r="B50" s="4" t="s">
        <v>257</v>
      </c>
      <c r="C50" s="24" t="s">
        <v>269</v>
      </c>
      <c r="D50" s="10">
        <v>7168</v>
      </c>
      <c r="E50" s="15"/>
      <c r="F50" s="64" t="s">
        <v>564</v>
      </c>
      <c r="G50" s="10"/>
      <c r="H50" s="75">
        <v>39024</v>
      </c>
      <c r="I50" s="10"/>
      <c r="J50" s="10"/>
      <c r="K50" s="3"/>
    </row>
    <row r="51" spans="1:11" x14ac:dyDescent="0.25">
      <c r="A51" s="10">
        <v>199</v>
      </c>
      <c r="B51" s="4" t="s">
        <v>221</v>
      </c>
      <c r="C51" s="24" t="s">
        <v>270</v>
      </c>
      <c r="D51" s="10" t="s">
        <v>557</v>
      </c>
      <c r="E51" s="15"/>
      <c r="F51" s="64" t="s">
        <v>560</v>
      </c>
      <c r="G51" s="10"/>
      <c r="H51" s="75" t="s">
        <v>557</v>
      </c>
      <c r="I51" s="10"/>
      <c r="J51" s="10"/>
      <c r="K51" s="3"/>
    </row>
    <row r="52" spans="1:11" x14ac:dyDescent="0.25">
      <c r="A52" s="10">
        <v>200</v>
      </c>
      <c r="B52" s="4" t="s">
        <v>221</v>
      </c>
      <c r="C52" s="24" t="s">
        <v>271</v>
      </c>
      <c r="D52" s="10">
        <v>7081</v>
      </c>
      <c r="E52" s="15"/>
      <c r="F52" s="64" t="s">
        <v>560</v>
      </c>
      <c r="G52" s="10"/>
      <c r="H52" s="75">
        <v>38986</v>
      </c>
      <c r="I52" s="10"/>
      <c r="J52" s="10"/>
      <c r="K52" s="3"/>
    </row>
    <row r="53" spans="1:11" x14ac:dyDescent="0.25">
      <c r="A53" s="10">
        <v>210</v>
      </c>
      <c r="B53" s="4" t="s">
        <v>221</v>
      </c>
      <c r="C53" s="24" t="s">
        <v>272</v>
      </c>
      <c r="D53" s="10" t="s">
        <v>557</v>
      </c>
      <c r="E53" s="15"/>
      <c r="F53" s="64" t="s">
        <v>559</v>
      </c>
      <c r="G53" s="10"/>
      <c r="H53" s="75">
        <v>38725</v>
      </c>
      <c r="I53" s="10"/>
      <c r="J53" s="10"/>
      <c r="K53" s="3"/>
    </row>
    <row r="54" spans="1:11" x14ac:dyDescent="0.25">
      <c r="A54" s="10">
        <v>212</v>
      </c>
      <c r="B54" s="4" t="s">
        <v>221</v>
      </c>
      <c r="C54" s="24" t="s">
        <v>273</v>
      </c>
      <c r="D54" s="10" t="s">
        <v>557</v>
      </c>
      <c r="E54" s="15"/>
      <c r="F54" s="64" t="s">
        <v>561</v>
      </c>
      <c r="G54" s="10"/>
      <c r="H54" s="75">
        <v>38725</v>
      </c>
      <c r="I54" s="10"/>
      <c r="J54" s="10"/>
      <c r="K54" s="3"/>
    </row>
    <row r="55" spans="1:11" x14ac:dyDescent="0.25">
      <c r="A55" s="10">
        <v>203</v>
      </c>
      <c r="B55" s="4" t="s">
        <v>221</v>
      </c>
      <c r="C55" s="24" t="s">
        <v>274</v>
      </c>
      <c r="D55" s="10" t="s">
        <v>557</v>
      </c>
      <c r="E55" s="15"/>
      <c r="F55" s="64" t="s">
        <v>560</v>
      </c>
      <c r="G55" s="10"/>
      <c r="H55" s="75">
        <v>38725</v>
      </c>
      <c r="I55" s="10"/>
      <c r="J55" s="10"/>
      <c r="K55" s="3"/>
    </row>
    <row r="56" spans="1:11" x14ac:dyDescent="0.25">
      <c r="A56" s="10">
        <v>204</v>
      </c>
      <c r="B56" s="4" t="s">
        <v>221</v>
      </c>
      <c r="C56" s="24" t="s">
        <v>275</v>
      </c>
      <c r="D56" s="10" t="s">
        <v>557</v>
      </c>
      <c r="E56" s="15"/>
      <c r="F56" s="64" t="s">
        <v>562</v>
      </c>
      <c r="G56" s="10"/>
      <c r="H56" s="75">
        <v>38725</v>
      </c>
      <c r="I56" s="10"/>
      <c r="J56" s="10"/>
      <c r="K56" s="3"/>
    </row>
    <row r="57" spans="1:11" x14ac:dyDescent="0.25">
      <c r="A57" s="10">
        <v>205</v>
      </c>
      <c r="B57" s="4" t="s">
        <v>221</v>
      </c>
      <c r="C57" s="24" t="s">
        <v>277</v>
      </c>
      <c r="D57" s="10" t="s">
        <v>557</v>
      </c>
      <c r="E57" s="15"/>
      <c r="F57" s="64" t="s">
        <v>490</v>
      </c>
      <c r="G57" s="10"/>
      <c r="H57" s="75">
        <v>38725</v>
      </c>
      <c r="I57" s="10"/>
      <c r="J57" s="10"/>
      <c r="K57" s="3"/>
    </row>
    <row r="58" spans="1:11" x14ac:dyDescent="0.25">
      <c r="A58" s="10">
        <v>206</v>
      </c>
      <c r="B58" s="4" t="s">
        <v>221</v>
      </c>
      <c r="C58" s="24" t="s">
        <v>276</v>
      </c>
      <c r="D58" s="10" t="s">
        <v>557</v>
      </c>
      <c r="E58" s="15"/>
      <c r="F58" s="64" t="s">
        <v>560</v>
      </c>
      <c r="G58" s="10"/>
      <c r="H58" s="75">
        <v>38725</v>
      </c>
      <c r="I58" s="10"/>
      <c r="J58" s="10"/>
      <c r="K58" s="3"/>
    </row>
    <row r="59" spans="1:11" x14ac:dyDescent="0.25">
      <c r="A59" s="10">
        <v>207</v>
      </c>
      <c r="B59" s="4" t="s">
        <v>221</v>
      </c>
      <c r="C59" s="24" t="s">
        <v>278</v>
      </c>
      <c r="D59" s="10">
        <v>7133</v>
      </c>
      <c r="E59" s="15">
        <v>38782</v>
      </c>
      <c r="F59" s="64" t="s">
        <v>560</v>
      </c>
      <c r="G59" s="10"/>
      <c r="H59" s="75"/>
      <c r="I59" s="10"/>
      <c r="J59" s="10"/>
      <c r="K59" s="3"/>
    </row>
    <row r="60" spans="1:11" x14ac:dyDescent="0.25">
      <c r="A60" s="10">
        <v>208</v>
      </c>
      <c r="B60" s="4" t="s">
        <v>301</v>
      </c>
      <c r="C60" s="24" t="s">
        <v>279</v>
      </c>
      <c r="D60" s="10">
        <v>7222</v>
      </c>
      <c r="E60" s="15">
        <v>38840</v>
      </c>
      <c r="F60" s="64" t="s">
        <v>564</v>
      </c>
      <c r="G60" s="10"/>
      <c r="H60" s="75">
        <v>39126</v>
      </c>
      <c r="I60" s="10"/>
      <c r="J60" s="10"/>
      <c r="K60" s="3"/>
    </row>
    <row r="61" spans="1:11" x14ac:dyDescent="0.25">
      <c r="A61" s="10">
        <v>209</v>
      </c>
      <c r="B61" s="4" t="s">
        <v>221</v>
      </c>
      <c r="C61" s="24" t="s">
        <v>282</v>
      </c>
      <c r="D61" s="10">
        <v>7177</v>
      </c>
      <c r="E61" s="15">
        <v>38884</v>
      </c>
      <c r="F61" s="83" t="s">
        <v>558</v>
      </c>
      <c r="G61" s="10"/>
      <c r="H61" s="91">
        <v>38882</v>
      </c>
      <c r="I61" s="10"/>
      <c r="J61" s="10"/>
      <c r="K61" s="3"/>
    </row>
    <row r="62" spans="1:11" x14ac:dyDescent="0.25">
      <c r="A62" s="9">
        <v>210</v>
      </c>
      <c r="B62" s="4" t="s">
        <v>221</v>
      </c>
      <c r="C62" s="24" t="s">
        <v>280</v>
      </c>
      <c r="D62" s="9"/>
      <c r="E62" s="9"/>
      <c r="F62" s="84" t="s">
        <v>557</v>
      </c>
      <c r="G62" s="10"/>
      <c r="H62" s="75" t="s">
        <v>557</v>
      </c>
      <c r="I62" s="10"/>
      <c r="J62" s="10"/>
      <c r="K62" s="3"/>
    </row>
    <row r="63" spans="1:11" x14ac:dyDescent="0.25">
      <c r="A63" s="11">
        <v>211</v>
      </c>
      <c r="B63" s="4" t="s">
        <v>221</v>
      </c>
      <c r="C63" s="25" t="s">
        <v>281</v>
      </c>
      <c r="D63" s="11">
        <v>7177</v>
      </c>
      <c r="E63" s="15">
        <v>38884</v>
      </c>
      <c r="F63" s="83" t="s">
        <v>558</v>
      </c>
      <c r="G63" s="10"/>
      <c r="H63" s="91">
        <v>38882</v>
      </c>
      <c r="I63" s="10"/>
      <c r="J63" s="10"/>
      <c r="K63" s="3"/>
    </row>
    <row r="64" spans="1:11" x14ac:dyDescent="0.25">
      <c r="A64" s="10">
        <v>212</v>
      </c>
      <c r="B64" s="4" t="s">
        <v>221</v>
      </c>
      <c r="C64" s="24" t="s">
        <v>283</v>
      </c>
      <c r="D64" s="10">
        <v>7185</v>
      </c>
      <c r="E64" s="15">
        <v>38840</v>
      </c>
      <c r="F64" s="64" t="s">
        <v>560</v>
      </c>
      <c r="G64" s="10"/>
      <c r="H64" s="75">
        <v>38889</v>
      </c>
      <c r="I64" s="10"/>
      <c r="J64" s="10"/>
      <c r="K64" s="3"/>
    </row>
    <row r="65" spans="1:11" x14ac:dyDescent="0.25">
      <c r="A65" s="10">
        <v>213</v>
      </c>
      <c r="B65" s="4" t="s">
        <v>221</v>
      </c>
      <c r="C65" s="24" t="s">
        <v>284</v>
      </c>
      <c r="D65" s="10">
        <v>7124</v>
      </c>
      <c r="E65" s="10"/>
      <c r="F65" s="64" t="s">
        <v>560</v>
      </c>
      <c r="G65" s="10"/>
      <c r="H65" s="75">
        <v>38930</v>
      </c>
      <c r="I65" s="10"/>
      <c r="J65" s="10"/>
      <c r="K65" s="3"/>
    </row>
    <row r="66" spans="1:11" x14ac:dyDescent="0.25">
      <c r="A66" s="10">
        <v>214</v>
      </c>
      <c r="B66" s="4" t="s">
        <v>221</v>
      </c>
      <c r="C66" s="24" t="s">
        <v>285</v>
      </c>
      <c r="D66" s="10">
        <v>7133</v>
      </c>
      <c r="E66" s="10"/>
      <c r="F66" s="64"/>
      <c r="G66" s="10"/>
      <c r="H66" s="75"/>
      <c r="I66" s="10"/>
      <c r="J66" s="10"/>
      <c r="K66" s="3"/>
    </row>
    <row r="67" spans="1:11" x14ac:dyDescent="0.25">
      <c r="A67" s="10">
        <v>215</v>
      </c>
      <c r="B67" s="4" t="s">
        <v>221</v>
      </c>
      <c r="C67" s="24" t="s">
        <v>286</v>
      </c>
      <c r="D67" s="11">
        <v>7185</v>
      </c>
      <c r="E67" s="15">
        <v>38884</v>
      </c>
      <c r="F67" s="64" t="s">
        <v>560</v>
      </c>
      <c r="G67" s="10"/>
      <c r="H67" s="75">
        <v>38889</v>
      </c>
      <c r="I67" s="10"/>
      <c r="J67" s="10"/>
      <c r="K67" s="3"/>
    </row>
    <row r="68" spans="1:11" x14ac:dyDescent="0.25">
      <c r="A68" s="10">
        <v>216</v>
      </c>
      <c r="B68" s="4" t="s">
        <v>221</v>
      </c>
      <c r="C68" s="24" t="s">
        <v>287</v>
      </c>
      <c r="D68" s="11">
        <v>7177</v>
      </c>
      <c r="E68" s="15">
        <v>38884</v>
      </c>
      <c r="F68" s="83" t="s">
        <v>558</v>
      </c>
      <c r="G68" s="10"/>
      <c r="H68" s="91">
        <v>38882</v>
      </c>
      <c r="I68" s="10"/>
      <c r="J68" s="10"/>
      <c r="K68" s="3"/>
    </row>
    <row r="69" spans="1:11" x14ac:dyDescent="0.25">
      <c r="A69" s="10">
        <v>217</v>
      </c>
      <c r="B69" s="4" t="s">
        <v>221</v>
      </c>
      <c r="C69" s="24" t="s">
        <v>288</v>
      </c>
      <c r="D69" s="11">
        <v>7177</v>
      </c>
      <c r="E69" s="15">
        <v>38884</v>
      </c>
      <c r="F69" s="64" t="s">
        <v>562</v>
      </c>
      <c r="G69" s="10"/>
      <c r="H69" s="91">
        <v>38882</v>
      </c>
      <c r="I69" s="10"/>
      <c r="J69" s="10"/>
      <c r="K69" s="3"/>
    </row>
    <row r="70" spans="1:11" x14ac:dyDescent="0.25">
      <c r="A70" s="10">
        <v>218</v>
      </c>
      <c r="B70" s="4" t="s">
        <v>221</v>
      </c>
      <c r="C70" s="24" t="s">
        <v>289</v>
      </c>
      <c r="D70" s="10">
        <v>7222</v>
      </c>
      <c r="E70" s="15">
        <v>38840</v>
      </c>
      <c r="F70" s="64" t="s">
        <v>564</v>
      </c>
      <c r="G70" s="10"/>
      <c r="H70" s="75">
        <v>39126</v>
      </c>
      <c r="I70" s="10"/>
      <c r="J70" s="10"/>
      <c r="K70" s="3"/>
    </row>
    <row r="71" spans="1:11" x14ac:dyDescent="0.25">
      <c r="A71" s="10">
        <v>219</v>
      </c>
      <c r="B71" s="4" t="s">
        <v>221</v>
      </c>
      <c r="C71" s="24" t="s">
        <v>290</v>
      </c>
      <c r="D71" s="11">
        <v>7177</v>
      </c>
      <c r="E71" s="15">
        <v>38884</v>
      </c>
      <c r="F71" s="83" t="s">
        <v>558</v>
      </c>
      <c r="G71" s="10"/>
      <c r="H71" s="91">
        <v>38882</v>
      </c>
      <c r="I71" s="10"/>
      <c r="J71" s="10"/>
      <c r="K71" s="3"/>
    </row>
    <row r="72" spans="1:11" x14ac:dyDescent="0.25">
      <c r="A72" s="10">
        <v>220</v>
      </c>
      <c r="B72" s="4" t="s">
        <v>301</v>
      </c>
      <c r="C72" s="24" t="s">
        <v>291</v>
      </c>
      <c r="D72" s="10">
        <v>7222</v>
      </c>
      <c r="E72" s="10"/>
      <c r="F72" s="64" t="s">
        <v>564</v>
      </c>
      <c r="G72" s="10"/>
      <c r="H72" s="75">
        <v>39126</v>
      </c>
      <c r="I72" s="10"/>
      <c r="J72" s="10"/>
      <c r="K72" s="3"/>
    </row>
    <row r="73" spans="1:11" x14ac:dyDescent="0.25">
      <c r="A73" s="10">
        <v>221</v>
      </c>
      <c r="B73" s="4" t="s">
        <v>221</v>
      </c>
      <c r="C73" s="24" t="s">
        <v>292</v>
      </c>
      <c r="D73" s="10">
        <v>7124</v>
      </c>
      <c r="E73" s="10"/>
      <c r="F73" s="64" t="s">
        <v>560</v>
      </c>
      <c r="G73" s="10"/>
      <c r="H73" s="75">
        <v>38930</v>
      </c>
      <c r="I73" s="10"/>
      <c r="J73" s="10"/>
      <c r="K73" s="3"/>
    </row>
    <row r="74" spans="1:11" x14ac:dyDescent="0.25">
      <c r="A74" s="10">
        <v>222</v>
      </c>
      <c r="B74" s="4" t="s">
        <v>221</v>
      </c>
      <c r="C74" s="24" t="s">
        <v>293</v>
      </c>
      <c r="D74" s="10" t="s">
        <v>557</v>
      </c>
      <c r="E74" s="10"/>
      <c r="F74" s="64" t="s">
        <v>557</v>
      </c>
      <c r="G74" s="10"/>
      <c r="H74" s="75" t="s">
        <v>557</v>
      </c>
      <c r="I74" s="10"/>
      <c r="J74" s="10"/>
      <c r="K74" s="3"/>
    </row>
    <row r="75" spans="1:11" x14ac:dyDescent="0.25">
      <c r="A75" s="10">
        <v>223</v>
      </c>
      <c r="B75" s="4" t="s">
        <v>221</v>
      </c>
      <c r="C75" s="24" t="s">
        <v>294</v>
      </c>
      <c r="D75" s="10">
        <v>7124</v>
      </c>
      <c r="E75" s="10"/>
      <c r="F75" s="64" t="s">
        <v>560</v>
      </c>
      <c r="G75" s="10"/>
      <c r="H75" s="75">
        <v>38930</v>
      </c>
      <c r="I75" s="10"/>
      <c r="J75" s="10"/>
      <c r="K75" s="3"/>
    </row>
    <row r="76" spans="1:11" x14ac:dyDescent="0.25">
      <c r="A76" s="10">
        <v>224</v>
      </c>
      <c r="B76" s="4" t="s">
        <v>221</v>
      </c>
      <c r="C76" s="29" t="s">
        <v>573</v>
      </c>
      <c r="D76" s="10">
        <v>7182</v>
      </c>
      <c r="E76" s="16"/>
      <c r="F76" s="64" t="s">
        <v>564</v>
      </c>
      <c r="G76" s="10"/>
      <c r="H76" s="75">
        <v>38929</v>
      </c>
      <c r="I76" s="10"/>
      <c r="J76" s="10"/>
      <c r="K76" s="3"/>
    </row>
    <row r="77" spans="1:11" x14ac:dyDescent="0.25">
      <c r="A77" s="10">
        <v>225</v>
      </c>
      <c r="B77" s="4" t="s">
        <v>221</v>
      </c>
      <c r="C77" s="24" t="s">
        <v>295</v>
      </c>
      <c r="D77" s="10">
        <v>7137</v>
      </c>
      <c r="E77" s="15">
        <v>38825</v>
      </c>
      <c r="F77" s="64" t="s">
        <v>562</v>
      </c>
      <c r="G77" s="10"/>
      <c r="H77" s="75">
        <v>38786</v>
      </c>
      <c r="I77" s="10"/>
      <c r="J77" s="10"/>
      <c r="K77" s="3"/>
    </row>
    <row r="78" spans="1:11" x14ac:dyDescent="0.25">
      <c r="A78" s="10">
        <v>226</v>
      </c>
      <c r="B78" s="4" t="s">
        <v>221</v>
      </c>
      <c r="C78" s="24" t="s">
        <v>296</v>
      </c>
      <c r="D78" s="11">
        <v>7177</v>
      </c>
      <c r="E78" s="15">
        <v>38884</v>
      </c>
      <c r="F78" s="64" t="s">
        <v>558</v>
      </c>
      <c r="G78" s="10"/>
      <c r="H78" s="91">
        <v>38882</v>
      </c>
      <c r="I78" s="10"/>
      <c r="J78" s="10"/>
      <c r="K78" s="3"/>
    </row>
    <row r="79" spans="1:11" x14ac:dyDescent="0.25">
      <c r="A79" s="10">
        <v>227</v>
      </c>
      <c r="B79" s="4" t="s">
        <v>301</v>
      </c>
      <c r="C79" s="29" t="s">
        <v>302</v>
      </c>
      <c r="D79" s="10">
        <v>7182</v>
      </c>
      <c r="E79" s="10"/>
      <c r="F79" s="64" t="s">
        <v>564</v>
      </c>
      <c r="G79" s="10"/>
      <c r="H79" s="75">
        <v>38929</v>
      </c>
      <c r="I79" s="10"/>
      <c r="J79" s="10"/>
      <c r="K79" s="3"/>
    </row>
    <row r="80" spans="1:11" x14ac:dyDescent="0.25">
      <c r="A80" s="10">
        <v>228</v>
      </c>
      <c r="B80" s="4" t="s">
        <v>301</v>
      </c>
      <c r="C80" s="29" t="s">
        <v>574</v>
      </c>
      <c r="D80" s="10">
        <v>7182</v>
      </c>
      <c r="E80" s="10"/>
      <c r="F80" s="64" t="s">
        <v>564</v>
      </c>
      <c r="G80" s="10"/>
      <c r="H80" s="75">
        <v>38929</v>
      </c>
      <c r="I80" s="10"/>
      <c r="J80" s="10"/>
      <c r="K80" s="3"/>
    </row>
    <row r="81" spans="1:16" x14ac:dyDescent="0.25">
      <c r="A81" s="10">
        <v>229</v>
      </c>
      <c r="B81" s="4" t="s">
        <v>301</v>
      </c>
      <c r="C81" s="24" t="s">
        <v>297</v>
      </c>
      <c r="D81" s="10">
        <v>7182</v>
      </c>
      <c r="E81" s="15">
        <v>38919</v>
      </c>
      <c r="F81" s="64" t="s">
        <v>564</v>
      </c>
      <c r="G81" s="10"/>
      <c r="H81" s="75">
        <v>38929</v>
      </c>
      <c r="I81" s="10"/>
      <c r="J81" s="10"/>
      <c r="K81" s="3"/>
    </row>
    <row r="82" spans="1:16" x14ac:dyDescent="0.25">
      <c r="A82" s="10">
        <v>230</v>
      </c>
      <c r="B82" s="4" t="s">
        <v>221</v>
      </c>
      <c r="C82" s="24" t="s">
        <v>298</v>
      </c>
      <c r="D82" s="10">
        <v>7168</v>
      </c>
      <c r="E82" s="16"/>
      <c r="F82" s="64" t="s">
        <v>560</v>
      </c>
      <c r="G82" s="10"/>
      <c r="H82" s="75">
        <v>39024</v>
      </c>
      <c r="I82" s="10"/>
      <c r="J82" s="10"/>
      <c r="K82" s="3"/>
    </row>
    <row r="83" spans="1:16" x14ac:dyDescent="0.25">
      <c r="A83" s="10">
        <v>231</v>
      </c>
      <c r="B83" s="4" t="s">
        <v>221</v>
      </c>
      <c r="C83" s="24" t="s">
        <v>299</v>
      </c>
      <c r="D83" s="10">
        <v>7182</v>
      </c>
      <c r="E83" s="15">
        <v>38919</v>
      </c>
      <c r="F83" s="64" t="s">
        <v>560</v>
      </c>
      <c r="G83" s="10"/>
      <c r="H83" s="75">
        <v>38929</v>
      </c>
      <c r="I83" s="10"/>
      <c r="J83" s="10"/>
      <c r="K83" s="3"/>
    </row>
    <row r="84" spans="1:16" x14ac:dyDescent="0.25">
      <c r="A84" s="10">
        <v>232</v>
      </c>
      <c r="B84" s="4" t="s">
        <v>221</v>
      </c>
      <c r="C84" s="24" t="s">
        <v>300</v>
      </c>
      <c r="D84" s="10">
        <v>7168</v>
      </c>
      <c r="E84" s="16"/>
      <c r="F84" s="64" t="s">
        <v>564</v>
      </c>
      <c r="G84" s="10"/>
      <c r="H84" s="75">
        <v>39024</v>
      </c>
      <c r="I84" s="10"/>
      <c r="J84" s="10"/>
      <c r="K84" s="3"/>
    </row>
    <row r="85" spans="1:16" x14ac:dyDescent="0.25">
      <c r="A85" s="10">
        <v>233</v>
      </c>
      <c r="B85" s="4" t="s">
        <v>301</v>
      </c>
      <c r="C85" s="24" t="s">
        <v>302</v>
      </c>
      <c r="D85" s="10">
        <v>7182</v>
      </c>
      <c r="E85" s="15">
        <v>38919</v>
      </c>
      <c r="F85" s="64" t="s">
        <v>564</v>
      </c>
      <c r="G85" s="10"/>
      <c r="H85" s="75">
        <v>38929</v>
      </c>
      <c r="I85" s="10"/>
      <c r="J85" s="10"/>
      <c r="K85" s="3"/>
    </row>
    <row r="86" spans="1:16" x14ac:dyDescent="0.25">
      <c r="A86" s="10">
        <v>234</v>
      </c>
      <c r="B86" s="4" t="s">
        <v>303</v>
      </c>
      <c r="C86" s="29" t="s">
        <v>575</v>
      </c>
      <c r="D86" s="10">
        <v>7182</v>
      </c>
      <c r="E86" s="16"/>
      <c r="F86" s="64" t="s">
        <v>564</v>
      </c>
      <c r="G86" s="10"/>
      <c r="H86" s="75">
        <v>38929</v>
      </c>
      <c r="I86" s="10"/>
      <c r="J86" s="10"/>
      <c r="K86" s="3"/>
    </row>
    <row r="87" spans="1:16" x14ac:dyDescent="0.25">
      <c r="A87" s="10">
        <v>235</v>
      </c>
      <c r="B87" s="4" t="s">
        <v>303</v>
      </c>
      <c r="C87" s="24" t="s">
        <v>304</v>
      </c>
      <c r="D87" s="10"/>
      <c r="E87" s="16"/>
      <c r="F87" s="64"/>
      <c r="G87" s="10"/>
      <c r="H87" s="75"/>
      <c r="I87" s="10"/>
      <c r="J87" s="10"/>
      <c r="K87" s="3"/>
    </row>
    <row r="88" spans="1:16" x14ac:dyDescent="0.25">
      <c r="A88" s="10">
        <v>273</v>
      </c>
      <c r="B88" s="4" t="s">
        <v>303</v>
      </c>
      <c r="C88" s="24" t="s">
        <v>305</v>
      </c>
      <c r="D88" s="10"/>
      <c r="E88" s="16"/>
      <c r="F88" s="64"/>
      <c r="G88" s="10"/>
      <c r="H88" s="75"/>
      <c r="I88" s="10"/>
      <c r="J88" s="10"/>
      <c r="K88" s="3"/>
    </row>
    <row r="89" spans="1:16" x14ac:dyDescent="0.25">
      <c r="A89" s="10">
        <v>237</v>
      </c>
      <c r="B89" s="4" t="s">
        <v>303</v>
      </c>
      <c r="C89" s="24" t="s">
        <v>306</v>
      </c>
      <c r="D89" s="10"/>
      <c r="E89" s="16"/>
      <c r="F89" s="64"/>
      <c r="G89" s="10"/>
      <c r="H89" s="75"/>
      <c r="I89" s="10"/>
      <c r="J89" s="10"/>
      <c r="K89" s="3"/>
    </row>
    <row r="90" spans="1:16" x14ac:dyDescent="0.25">
      <c r="A90" s="10">
        <v>238</v>
      </c>
      <c r="B90" s="4" t="s">
        <v>303</v>
      </c>
      <c r="C90" s="24" t="s">
        <v>307</v>
      </c>
      <c r="D90" s="10"/>
      <c r="E90" s="16"/>
      <c r="F90" s="64"/>
      <c r="G90" s="10"/>
      <c r="H90" s="75"/>
      <c r="I90" s="10"/>
      <c r="J90" s="10"/>
      <c r="K90" s="3"/>
    </row>
    <row r="91" spans="1:16" x14ac:dyDescent="0.25">
      <c r="A91" s="10">
        <v>239</v>
      </c>
      <c r="B91" s="4" t="s">
        <v>303</v>
      </c>
      <c r="C91" s="24" t="s">
        <v>308</v>
      </c>
      <c r="D91" s="10"/>
      <c r="E91" s="16"/>
      <c r="F91" s="64"/>
      <c r="G91" s="10"/>
      <c r="H91" s="75"/>
      <c r="I91" s="10"/>
      <c r="J91" s="10"/>
      <c r="K91" s="3"/>
    </row>
    <row r="92" spans="1:16" x14ac:dyDescent="0.25">
      <c r="A92" s="10">
        <v>240</v>
      </c>
      <c r="B92" s="4" t="s">
        <v>303</v>
      </c>
      <c r="C92" s="24" t="s">
        <v>309</v>
      </c>
      <c r="D92" s="10"/>
      <c r="E92" s="16"/>
      <c r="F92" s="64"/>
      <c r="G92" s="10"/>
      <c r="H92" s="75"/>
      <c r="I92" s="10"/>
      <c r="J92" s="10"/>
      <c r="K92" s="3"/>
      <c r="P92" s="3"/>
    </row>
    <row r="93" spans="1:16" x14ac:dyDescent="0.25">
      <c r="A93" s="10">
        <v>241</v>
      </c>
      <c r="B93" s="4" t="s">
        <v>303</v>
      </c>
      <c r="C93" s="24" t="s">
        <v>310</v>
      </c>
      <c r="D93" s="10"/>
      <c r="E93" s="16"/>
      <c r="F93" s="64"/>
      <c r="G93" s="10"/>
      <c r="H93" s="75"/>
      <c r="I93" s="10"/>
      <c r="J93" s="10"/>
      <c r="K93" s="3"/>
      <c r="P93" s="3"/>
    </row>
    <row r="94" spans="1:16" x14ac:dyDescent="0.25">
      <c r="A94" s="10">
        <v>242</v>
      </c>
      <c r="B94" s="4" t="s">
        <v>303</v>
      </c>
      <c r="C94" s="24" t="s">
        <v>311</v>
      </c>
      <c r="D94" s="10"/>
      <c r="E94" s="10"/>
      <c r="F94" s="64"/>
      <c r="G94" s="10"/>
      <c r="H94" s="75"/>
      <c r="I94" s="10"/>
      <c r="J94" s="10"/>
      <c r="K94" s="3"/>
    </row>
    <row r="95" spans="1:16" x14ac:dyDescent="0.25">
      <c r="A95" s="10">
        <v>243</v>
      </c>
      <c r="B95" s="4" t="s">
        <v>303</v>
      </c>
      <c r="C95" s="24" t="s">
        <v>312</v>
      </c>
      <c r="D95" s="10"/>
      <c r="E95" s="10"/>
      <c r="F95" s="64"/>
      <c r="G95" s="10"/>
      <c r="H95" s="75"/>
      <c r="I95" s="10"/>
      <c r="J95" s="10"/>
      <c r="K95" s="3"/>
    </row>
    <row r="96" spans="1:16" x14ac:dyDescent="0.25">
      <c r="A96" s="10">
        <v>244</v>
      </c>
      <c r="B96" s="4" t="s">
        <v>303</v>
      </c>
      <c r="C96" s="24" t="s">
        <v>313</v>
      </c>
      <c r="D96" s="10"/>
      <c r="E96" s="10"/>
      <c r="F96" s="64"/>
      <c r="G96" s="10"/>
      <c r="H96" s="75"/>
      <c r="I96" s="10"/>
      <c r="J96" s="10"/>
      <c r="K96" s="3"/>
    </row>
    <row r="97" spans="1:11" x14ac:dyDescent="0.25">
      <c r="A97" s="10">
        <v>245</v>
      </c>
      <c r="B97" s="4" t="s">
        <v>303</v>
      </c>
      <c r="C97" s="24" t="s">
        <v>314</v>
      </c>
      <c r="D97" s="10">
        <v>7168</v>
      </c>
      <c r="E97" s="10"/>
      <c r="F97" s="64" t="s">
        <v>560</v>
      </c>
      <c r="G97" s="10"/>
      <c r="H97" s="75">
        <v>39024</v>
      </c>
      <c r="I97" s="10"/>
      <c r="J97" s="10"/>
      <c r="K97" s="3"/>
    </row>
    <row r="98" spans="1:11" x14ac:dyDescent="0.25">
      <c r="A98" s="10">
        <v>246</v>
      </c>
      <c r="B98" s="4" t="s">
        <v>303</v>
      </c>
      <c r="C98" s="24" t="s">
        <v>315</v>
      </c>
      <c r="D98" s="10" t="s">
        <v>557</v>
      </c>
      <c r="E98" s="10"/>
      <c r="F98" s="64" t="s">
        <v>557</v>
      </c>
      <c r="G98" s="10"/>
      <c r="H98" s="75"/>
      <c r="I98" s="10"/>
      <c r="J98" s="10"/>
      <c r="K98" s="3"/>
    </row>
    <row r="99" spans="1:11" x14ac:dyDescent="0.25">
      <c r="A99" s="10">
        <v>247</v>
      </c>
      <c r="B99" s="4" t="s">
        <v>303</v>
      </c>
      <c r="C99" s="24" t="s">
        <v>316</v>
      </c>
      <c r="D99" s="10">
        <v>7229</v>
      </c>
      <c r="E99" s="10"/>
      <c r="F99" s="64" t="s">
        <v>560</v>
      </c>
      <c r="G99" s="10"/>
      <c r="H99" s="75"/>
      <c r="I99" s="10"/>
      <c r="J99" s="10"/>
      <c r="K99" s="3"/>
    </row>
    <row r="100" spans="1:11" x14ac:dyDescent="0.25">
      <c r="A100" s="10">
        <v>248</v>
      </c>
      <c r="B100" s="4" t="s">
        <v>301</v>
      </c>
      <c r="C100" s="24" t="s">
        <v>317</v>
      </c>
      <c r="D100" s="10">
        <v>7168</v>
      </c>
      <c r="E100" s="10"/>
      <c r="F100" s="64" t="s">
        <v>320</v>
      </c>
      <c r="G100" s="10"/>
      <c r="H100" s="75">
        <v>39024</v>
      </c>
      <c r="I100" s="10"/>
      <c r="J100" s="10"/>
      <c r="K100" s="3"/>
    </row>
    <row r="101" spans="1:11" x14ac:dyDescent="0.25">
      <c r="A101" s="10">
        <v>249</v>
      </c>
      <c r="B101" s="4" t="s">
        <v>301</v>
      </c>
      <c r="C101" s="24" t="s">
        <v>318</v>
      </c>
      <c r="D101" s="10">
        <v>7168</v>
      </c>
      <c r="E101" s="10"/>
      <c r="F101" s="64" t="s">
        <v>320</v>
      </c>
      <c r="G101" s="10"/>
      <c r="H101" s="75">
        <v>39024</v>
      </c>
      <c r="I101" s="10"/>
      <c r="J101" s="10"/>
      <c r="K101" s="3"/>
    </row>
    <row r="102" spans="1:11" x14ac:dyDescent="0.25">
      <c r="A102" s="10">
        <v>250</v>
      </c>
      <c r="B102" s="4" t="s">
        <v>301</v>
      </c>
      <c r="C102" s="24" t="s">
        <v>319</v>
      </c>
      <c r="D102" s="10">
        <v>7168</v>
      </c>
      <c r="E102" s="10"/>
      <c r="F102" s="64" t="s">
        <v>320</v>
      </c>
      <c r="G102" s="10"/>
      <c r="H102" s="75">
        <v>39024</v>
      </c>
      <c r="I102" s="10"/>
      <c r="J102" s="10"/>
      <c r="K102" s="3"/>
    </row>
    <row r="103" spans="1:11" x14ac:dyDescent="0.25">
      <c r="A103" s="10">
        <v>251</v>
      </c>
      <c r="B103" s="4" t="s">
        <v>303</v>
      </c>
      <c r="C103" s="24" t="s">
        <v>321</v>
      </c>
      <c r="D103" s="10">
        <v>7229</v>
      </c>
      <c r="E103" s="10"/>
      <c r="F103" s="64" t="s">
        <v>560</v>
      </c>
      <c r="G103" s="10"/>
      <c r="H103" s="75">
        <v>39048</v>
      </c>
      <c r="I103" s="10"/>
      <c r="J103" s="10"/>
      <c r="K103" s="3"/>
    </row>
    <row r="104" spans="1:11" x14ac:dyDescent="0.25">
      <c r="A104" s="10">
        <v>252</v>
      </c>
      <c r="B104" s="4" t="s">
        <v>303</v>
      </c>
      <c r="C104" s="24" t="s">
        <v>316</v>
      </c>
      <c r="D104" s="10">
        <v>7229</v>
      </c>
      <c r="E104" s="10"/>
      <c r="F104" s="64" t="s">
        <v>560</v>
      </c>
      <c r="G104" s="10"/>
      <c r="H104" s="75">
        <v>39048</v>
      </c>
      <c r="I104" s="10"/>
      <c r="J104" s="10"/>
      <c r="K104" s="3"/>
    </row>
    <row r="105" spans="1:11" x14ac:dyDescent="0.25">
      <c r="A105" s="10">
        <v>253</v>
      </c>
      <c r="B105" s="4" t="s">
        <v>303</v>
      </c>
      <c r="C105" s="24" t="s">
        <v>322</v>
      </c>
      <c r="D105" s="10">
        <v>7229</v>
      </c>
      <c r="E105" s="10"/>
      <c r="F105" s="64" t="s">
        <v>560</v>
      </c>
      <c r="G105" s="10"/>
      <c r="H105" s="75">
        <v>39048</v>
      </c>
      <c r="I105" s="10"/>
      <c r="J105" s="10"/>
      <c r="K105" s="3"/>
    </row>
    <row r="106" spans="1:11" x14ac:dyDescent="0.25">
      <c r="A106" s="10">
        <v>254</v>
      </c>
      <c r="B106" s="4" t="s">
        <v>303</v>
      </c>
      <c r="C106" s="24" t="s">
        <v>323</v>
      </c>
      <c r="D106" s="10">
        <v>7229</v>
      </c>
      <c r="E106" s="10"/>
      <c r="F106" s="64" t="s">
        <v>560</v>
      </c>
      <c r="G106" s="10"/>
      <c r="H106" s="75">
        <v>39048</v>
      </c>
      <c r="I106" s="10"/>
      <c r="J106" s="10"/>
      <c r="K106" s="3"/>
    </row>
    <row r="107" spans="1:11" x14ac:dyDescent="0.25">
      <c r="A107" s="10">
        <v>255</v>
      </c>
      <c r="B107" s="4" t="s">
        <v>303</v>
      </c>
      <c r="C107" s="24" t="s">
        <v>324</v>
      </c>
      <c r="D107" s="10">
        <v>7229</v>
      </c>
      <c r="E107" s="10"/>
      <c r="F107" s="64" t="s">
        <v>560</v>
      </c>
      <c r="G107" s="10"/>
      <c r="H107" s="75">
        <v>39048</v>
      </c>
      <c r="I107" s="10"/>
      <c r="J107" s="10"/>
      <c r="K107" s="3"/>
    </row>
    <row r="108" spans="1:11" x14ac:dyDescent="0.25">
      <c r="A108" s="10">
        <v>256</v>
      </c>
      <c r="B108" s="4" t="s">
        <v>303</v>
      </c>
      <c r="C108" s="24" t="s">
        <v>325</v>
      </c>
      <c r="D108" s="10">
        <v>7229</v>
      </c>
      <c r="E108" s="10"/>
      <c r="F108" s="64" t="s">
        <v>560</v>
      </c>
      <c r="G108" s="10"/>
      <c r="H108" s="75">
        <v>39048</v>
      </c>
      <c r="I108" s="10"/>
      <c r="J108" s="10"/>
      <c r="K108" s="3"/>
    </row>
    <row r="109" spans="1:11" x14ac:dyDescent="0.25">
      <c r="A109" s="10">
        <v>257</v>
      </c>
      <c r="B109" s="4" t="s">
        <v>303</v>
      </c>
      <c r="C109" s="24" t="s">
        <v>326</v>
      </c>
      <c r="D109" s="10">
        <v>7229</v>
      </c>
      <c r="E109" s="10"/>
      <c r="F109" s="64" t="s">
        <v>560</v>
      </c>
      <c r="G109" s="10"/>
      <c r="H109" s="75">
        <v>39048</v>
      </c>
      <c r="I109" s="10"/>
      <c r="J109" s="10"/>
      <c r="K109" s="3"/>
    </row>
    <row r="110" spans="1:11" x14ac:dyDescent="0.25">
      <c r="A110" s="10">
        <v>258</v>
      </c>
      <c r="B110" s="4" t="s">
        <v>303</v>
      </c>
      <c r="C110" s="24" t="s">
        <v>327</v>
      </c>
      <c r="D110" s="10">
        <v>7229</v>
      </c>
      <c r="E110" s="10"/>
      <c r="F110" s="64" t="s">
        <v>560</v>
      </c>
      <c r="G110" s="10"/>
      <c r="H110" s="75">
        <v>39048</v>
      </c>
      <c r="I110" s="10"/>
      <c r="J110" s="10"/>
      <c r="K110" s="3"/>
    </row>
    <row r="111" spans="1:11" x14ac:dyDescent="0.25">
      <c r="A111" s="10">
        <v>259</v>
      </c>
      <c r="B111" s="4" t="s">
        <v>303</v>
      </c>
      <c r="C111" s="24" t="s">
        <v>328</v>
      </c>
      <c r="D111" s="10">
        <v>7229</v>
      </c>
      <c r="E111" s="10"/>
      <c r="F111" s="64" t="s">
        <v>560</v>
      </c>
      <c r="G111" s="10"/>
      <c r="H111" s="75">
        <v>39048</v>
      </c>
      <c r="I111" s="10"/>
      <c r="J111" s="10"/>
      <c r="K111" s="3"/>
    </row>
    <row r="112" spans="1:11" x14ac:dyDescent="0.25">
      <c r="A112" s="10">
        <v>260</v>
      </c>
      <c r="B112" s="4" t="s">
        <v>303</v>
      </c>
      <c r="C112" s="24" t="s">
        <v>329</v>
      </c>
      <c r="D112" s="10">
        <v>7229</v>
      </c>
      <c r="E112" s="10"/>
      <c r="F112" s="64" t="s">
        <v>560</v>
      </c>
      <c r="G112" s="10"/>
      <c r="H112" s="75">
        <v>39048</v>
      </c>
      <c r="I112" s="10"/>
      <c r="J112" s="10"/>
      <c r="K112" s="3"/>
    </row>
    <row r="113" spans="1:11" x14ac:dyDescent="0.25">
      <c r="A113" s="10">
        <v>261</v>
      </c>
      <c r="B113" s="4" t="s">
        <v>303</v>
      </c>
      <c r="C113" s="24" t="s">
        <v>330</v>
      </c>
      <c r="D113" s="10">
        <v>7229</v>
      </c>
      <c r="E113" s="10"/>
      <c r="F113" s="64" t="s">
        <v>560</v>
      </c>
      <c r="G113" s="10"/>
      <c r="H113" s="75">
        <v>39048</v>
      </c>
      <c r="I113" s="10"/>
      <c r="J113" s="10"/>
      <c r="K113" s="3"/>
    </row>
    <row r="114" spans="1:11" x14ac:dyDescent="0.25">
      <c r="A114" s="10">
        <v>262</v>
      </c>
      <c r="B114" s="4" t="s">
        <v>303</v>
      </c>
      <c r="C114" s="24" t="s">
        <v>332</v>
      </c>
      <c r="D114" s="10">
        <v>7229</v>
      </c>
      <c r="E114" s="10"/>
      <c r="F114" s="64" t="s">
        <v>560</v>
      </c>
      <c r="G114" s="10"/>
      <c r="H114" s="75">
        <v>39048</v>
      </c>
      <c r="I114" s="10"/>
      <c r="J114" s="10"/>
      <c r="K114" s="3"/>
    </row>
    <row r="115" spans="1:11" x14ac:dyDescent="0.25">
      <c r="A115" s="10">
        <v>263</v>
      </c>
      <c r="B115" s="4" t="s">
        <v>303</v>
      </c>
      <c r="C115" s="24" t="s">
        <v>331</v>
      </c>
      <c r="D115" s="10">
        <v>7229</v>
      </c>
      <c r="E115" s="10"/>
      <c r="F115" s="64" t="s">
        <v>560</v>
      </c>
      <c r="G115" s="10"/>
      <c r="H115" s="75">
        <v>39048</v>
      </c>
      <c r="I115" s="10"/>
      <c r="J115" s="10"/>
      <c r="K115" s="3"/>
    </row>
    <row r="116" spans="1:11" x14ac:dyDescent="0.25">
      <c r="A116" s="10">
        <v>264</v>
      </c>
      <c r="B116" s="4" t="s">
        <v>303</v>
      </c>
      <c r="C116" s="24" t="s">
        <v>566</v>
      </c>
      <c r="D116" s="10">
        <v>7189</v>
      </c>
      <c r="E116" s="10"/>
      <c r="F116" s="64" t="s">
        <v>564</v>
      </c>
      <c r="G116" s="10"/>
      <c r="H116" s="75">
        <v>39121</v>
      </c>
      <c r="I116" s="10"/>
      <c r="J116" s="10"/>
      <c r="K116" s="3"/>
    </row>
    <row r="117" spans="1:11" x14ac:dyDescent="0.25">
      <c r="A117" s="10">
        <v>265</v>
      </c>
      <c r="B117" s="4" t="s">
        <v>303</v>
      </c>
      <c r="C117" s="24" t="s">
        <v>319</v>
      </c>
      <c r="D117" s="10">
        <v>7189</v>
      </c>
      <c r="E117" s="10"/>
      <c r="F117" s="64" t="s">
        <v>564</v>
      </c>
      <c r="G117" s="10"/>
      <c r="H117" s="75">
        <v>39121</v>
      </c>
      <c r="I117" s="10"/>
      <c r="J117" s="10"/>
      <c r="K117" s="3"/>
    </row>
    <row r="118" spans="1:11" x14ac:dyDescent="0.25">
      <c r="A118" s="10">
        <v>266</v>
      </c>
      <c r="B118" s="4" t="s">
        <v>303</v>
      </c>
      <c r="C118" s="24" t="s">
        <v>567</v>
      </c>
      <c r="D118" s="10">
        <v>7189</v>
      </c>
      <c r="E118" s="10"/>
      <c r="F118" s="64" t="s">
        <v>564</v>
      </c>
      <c r="G118" s="10"/>
      <c r="H118" s="75">
        <v>39121</v>
      </c>
      <c r="I118" s="10"/>
      <c r="J118" s="10"/>
      <c r="K118" s="3"/>
    </row>
    <row r="119" spans="1:11" x14ac:dyDescent="0.25">
      <c r="A119" s="10">
        <v>267</v>
      </c>
      <c r="B119" s="4" t="s">
        <v>303</v>
      </c>
      <c r="C119" s="24" t="s">
        <v>568</v>
      </c>
      <c r="D119" s="10">
        <v>7190</v>
      </c>
      <c r="E119" s="10"/>
      <c r="F119" s="64" t="s">
        <v>564</v>
      </c>
      <c r="G119" s="10"/>
      <c r="H119" s="75">
        <v>39121</v>
      </c>
      <c r="I119" s="10"/>
      <c r="J119" s="10"/>
      <c r="K119" s="3"/>
    </row>
    <row r="120" spans="1:11" x14ac:dyDescent="0.25">
      <c r="A120" s="10">
        <v>268</v>
      </c>
      <c r="B120" s="4" t="s">
        <v>303</v>
      </c>
      <c r="C120" s="24" t="s">
        <v>399</v>
      </c>
      <c r="D120" s="10">
        <v>7190</v>
      </c>
      <c r="E120" s="10"/>
      <c r="F120" s="64" t="s">
        <v>564</v>
      </c>
      <c r="G120" s="10"/>
      <c r="H120" s="75">
        <v>39121</v>
      </c>
      <c r="I120" s="10"/>
      <c r="J120" s="10"/>
      <c r="K120" s="3"/>
    </row>
    <row r="121" spans="1:11" x14ac:dyDescent="0.25">
      <c r="A121" s="10">
        <v>269</v>
      </c>
      <c r="B121" s="4" t="s">
        <v>303</v>
      </c>
      <c r="C121" s="24" t="s">
        <v>400</v>
      </c>
      <c r="D121" s="10">
        <v>7190</v>
      </c>
      <c r="E121" s="10"/>
      <c r="F121" s="64" t="s">
        <v>564</v>
      </c>
      <c r="G121" s="10"/>
      <c r="H121" s="75">
        <v>39121</v>
      </c>
      <c r="I121" s="10"/>
      <c r="J121" s="10"/>
      <c r="K121" s="3"/>
    </row>
    <row r="122" spans="1:11" x14ac:dyDescent="0.25">
      <c r="A122" s="10">
        <v>270</v>
      </c>
      <c r="B122" s="4" t="s">
        <v>303</v>
      </c>
      <c r="C122" s="24" t="s">
        <v>570</v>
      </c>
      <c r="D122" s="10">
        <v>7189</v>
      </c>
      <c r="E122" s="10"/>
      <c r="F122" s="64" t="s">
        <v>560</v>
      </c>
      <c r="G122" s="10"/>
      <c r="H122" s="75">
        <v>39121</v>
      </c>
      <c r="I122" s="10"/>
      <c r="J122" s="10"/>
      <c r="K122" s="3"/>
    </row>
    <row r="123" spans="1:11" x14ac:dyDescent="0.25">
      <c r="A123" s="10">
        <v>271</v>
      </c>
      <c r="B123" s="4" t="s">
        <v>303</v>
      </c>
      <c r="C123" s="24" t="s">
        <v>571</v>
      </c>
      <c r="D123" s="10">
        <v>7189</v>
      </c>
      <c r="E123" s="10"/>
      <c r="F123" s="64" t="s">
        <v>560</v>
      </c>
      <c r="G123" s="10"/>
      <c r="H123" s="75">
        <v>39121</v>
      </c>
      <c r="I123" s="10"/>
      <c r="J123" s="10"/>
      <c r="K123" s="3"/>
    </row>
    <row r="124" spans="1:11" x14ac:dyDescent="0.25">
      <c r="A124" s="10">
        <v>272</v>
      </c>
      <c r="B124" s="4" t="s">
        <v>303</v>
      </c>
      <c r="C124" s="24" t="s">
        <v>572</v>
      </c>
      <c r="D124" s="10">
        <v>7189</v>
      </c>
      <c r="E124" s="10"/>
      <c r="F124" s="64" t="s">
        <v>560</v>
      </c>
      <c r="G124" s="10"/>
      <c r="H124" s="75">
        <v>39121</v>
      </c>
      <c r="I124" s="10"/>
      <c r="J124" s="10"/>
      <c r="K124" s="3"/>
    </row>
    <row r="125" spans="1:11" x14ac:dyDescent="0.25">
      <c r="A125" s="10">
        <v>273</v>
      </c>
      <c r="B125" s="4" t="s">
        <v>303</v>
      </c>
      <c r="C125" s="24" t="s">
        <v>305</v>
      </c>
      <c r="D125" s="10" t="s">
        <v>557</v>
      </c>
      <c r="E125" s="15">
        <v>39091</v>
      </c>
      <c r="F125" s="64" t="s">
        <v>560</v>
      </c>
      <c r="G125" s="10"/>
      <c r="H125" s="16"/>
      <c r="I125" s="10"/>
      <c r="J125" s="10"/>
      <c r="K125" s="3"/>
    </row>
    <row r="126" spans="1:11" x14ac:dyDescent="0.25">
      <c r="A126" s="10">
        <v>274</v>
      </c>
      <c r="B126" s="4" t="s">
        <v>303</v>
      </c>
      <c r="C126" s="24" t="s">
        <v>333</v>
      </c>
      <c r="D126" s="10" t="s">
        <v>557</v>
      </c>
      <c r="E126" s="15">
        <v>39091</v>
      </c>
      <c r="F126" s="64" t="s">
        <v>560</v>
      </c>
      <c r="G126" s="10"/>
      <c r="H126" s="16"/>
      <c r="I126" s="10"/>
      <c r="J126" s="10"/>
      <c r="K126" s="3"/>
    </row>
    <row r="127" spans="1:11" x14ac:dyDescent="0.25">
      <c r="A127" s="10">
        <v>275</v>
      </c>
      <c r="B127" s="4" t="s">
        <v>257</v>
      </c>
      <c r="C127" s="24" t="s">
        <v>417</v>
      </c>
      <c r="D127" s="10">
        <v>7189</v>
      </c>
      <c r="E127" s="10"/>
      <c r="F127" s="64" t="s">
        <v>563</v>
      </c>
      <c r="G127" s="10"/>
      <c r="H127" s="75">
        <v>39121</v>
      </c>
      <c r="I127" s="10"/>
      <c r="J127" s="10"/>
      <c r="K127" s="3"/>
    </row>
    <row r="128" spans="1:11" x14ac:dyDescent="0.25">
      <c r="A128" s="10">
        <v>276</v>
      </c>
      <c r="B128" s="4" t="s">
        <v>303</v>
      </c>
      <c r="C128" s="24" t="s">
        <v>412</v>
      </c>
      <c r="D128" s="10">
        <v>7189</v>
      </c>
      <c r="E128" s="10"/>
      <c r="F128" s="64" t="s">
        <v>564</v>
      </c>
      <c r="G128" s="10"/>
      <c r="H128" s="75">
        <v>39121</v>
      </c>
      <c r="I128" s="10"/>
      <c r="J128" s="10"/>
      <c r="K128" s="3"/>
    </row>
    <row r="129" spans="1:11" x14ac:dyDescent="0.25">
      <c r="A129" s="10">
        <v>277</v>
      </c>
      <c r="B129" s="4" t="s">
        <v>303</v>
      </c>
      <c r="C129" s="24" t="s">
        <v>318</v>
      </c>
      <c r="D129" s="10">
        <v>7189</v>
      </c>
      <c r="E129" s="10"/>
      <c r="F129" s="64" t="s">
        <v>564</v>
      </c>
      <c r="G129" s="10"/>
      <c r="H129" s="75">
        <v>39121</v>
      </c>
      <c r="I129" s="10"/>
      <c r="J129" s="10"/>
      <c r="K129" s="3"/>
    </row>
    <row r="130" spans="1:11" x14ac:dyDescent="0.25">
      <c r="A130" s="10">
        <v>278</v>
      </c>
      <c r="B130" s="4" t="s">
        <v>303</v>
      </c>
      <c r="C130" s="24" t="s">
        <v>415</v>
      </c>
      <c r="D130" s="10">
        <v>7190</v>
      </c>
      <c r="E130" s="10"/>
      <c r="F130" s="64" t="s">
        <v>564</v>
      </c>
      <c r="G130" s="10"/>
      <c r="H130" s="75">
        <v>39121</v>
      </c>
      <c r="I130" s="10"/>
      <c r="J130" s="10"/>
      <c r="K130" s="3"/>
    </row>
    <row r="131" spans="1:11" x14ac:dyDescent="0.25">
      <c r="A131" s="10">
        <v>279</v>
      </c>
      <c r="B131" s="4" t="s">
        <v>303</v>
      </c>
      <c r="C131" s="24" t="s">
        <v>416</v>
      </c>
      <c r="D131" s="10">
        <v>7190</v>
      </c>
      <c r="E131" s="10"/>
      <c r="F131" s="64" t="s">
        <v>564</v>
      </c>
      <c r="G131" s="10"/>
      <c r="H131" s="75">
        <v>39121</v>
      </c>
      <c r="I131" s="10"/>
      <c r="J131" s="10"/>
      <c r="K131" s="3"/>
    </row>
    <row r="132" spans="1:11" x14ac:dyDescent="0.25">
      <c r="A132" s="10">
        <v>280</v>
      </c>
      <c r="B132" s="4" t="s">
        <v>303</v>
      </c>
      <c r="C132" s="24" t="s">
        <v>569</v>
      </c>
      <c r="D132" s="10">
        <v>7190</v>
      </c>
      <c r="E132" s="10"/>
      <c r="F132" s="64" t="s">
        <v>564</v>
      </c>
      <c r="G132" s="10"/>
      <c r="H132" s="75">
        <v>39121</v>
      </c>
      <c r="I132" s="10"/>
      <c r="J132" s="10"/>
      <c r="K132" s="3"/>
    </row>
    <row r="133" spans="1:11" x14ac:dyDescent="0.25">
      <c r="A133" s="10">
        <v>281</v>
      </c>
      <c r="B133" s="4" t="s">
        <v>303</v>
      </c>
      <c r="C133" s="24" t="s">
        <v>340</v>
      </c>
      <c r="D133" s="10">
        <v>7263</v>
      </c>
      <c r="E133" s="15">
        <v>39117</v>
      </c>
      <c r="F133" s="64" t="s">
        <v>560</v>
      </c>
      <c r="G133" s="10"/>
      <c r="H133" s="75">
        <v>39133</v>
      </c>
      <c r="I133" s="10"/>
      <c r="J133" s="10"/>
      <c r="K133" s="3"/>
    </row>
    <row r="134" spans="1:11" x14ac:dyDescent="0.25">
      <c r="A134" s="10">
        <v>282</v>
      </c>
      <c r="B134" s="4" t="s">
        <v>303</v>
      </c>
      <c r="C134" s="24" t="s">
        <v>335</v>
      </c>
      <c r="D134" s="10">
        <v>7263</v>
      </c>
      <c r="E134" s="15">
        <v>39117</v>
      </c>
      <c r="F134" s="64" t="s">
        <v>560</v>
      </c>
      <c r="G134" s="10"/>
      <c r="H134" s="75">
        <v>39133</v>
      </c>
      <c r="I134" s="10"/>
      <c r="J134" s="10"/>
      <c r="K134" s="3"/>
    </row>
    <row r="135" spans="1:11" x14ac:dyDescent="0.25">
      <c r="A135" s="10">
        <v>283</v>
      </c>
      <c r="B135" s="4" t="s">
        <v>303</v>
      </c>
      <c r="C135" s="24" t="s">
        <v>336</v>
      </c>
      <c r="D135" s="10">
        <v>7263</v>
      </c>
      <c r="E135" s="15">
        <v>39117</v>
      </c>
      <c r="F135" s="64" t="s">
        <v>560</v>
      </c>
      <c r="G135" s="10"/>
      <c r="H135" s="75">
        <v>39133</v>
      </c>
      <c r="I135" s="10"/>
      <c r="J135" s="10"/>
      <c r="K135" s="3"/>
    </row>
    <row r="136" spans="1:11" x14ac:dyDescent="0.25">
      <c r="A136" s="10">
        <v>284</v>
      </c>
      <c r="B136" s="4" t="s">
        <v>303</v>
      </c>
      <c r="C136" s="24" t="s">
        <v>337</v>
      </c>
      <c r="D136" s="10">
        <v>7263</v>
      </c>
      <c r="E136" s="15">
        <v>39117</v>
      </c>
      <c r="F136" s="64" t="s">
        <v>560</v>
      </c>
      <c r="G136" s="10"/>
      <c r="H136" s="75">
        <v>39133</v>
      </c>
      <c r="I136" s="10"/>
      <c r="J136" s="10"/>
      <c r="K136" s="3"/>
    </row>
    <row r="137" spans="1:11" x14ac:dyDescent="0.25">
      <c r="A137" s="10">
        <v>285</v>
      </c>
      <c r="B137" s="4" t="s">
        <v>303</v>
      </c>
      <c r="C137" s="24" t="s">
        <v>338</v>
      </c>
      <c r="D137" s="10">
        <v>7263</v>
      </c>
      <c r="E137" s="15">
        <v>39117</v>
      </c>
      <c r="F137" s="64" t="s">
        <v>560</v>
      </c>
      <c r="G137" s="10"/>
      <c r="H137" s="75">
        <v>39133</v>
      </c>
      <c r="I137" s="10"/>
      <c r="J137" s="10"/>
      <c r="K137" s="3"/>
    </row>
    <row r="138" spans="1:11" x14ac:dyDescent="0.25">
      <c r="A138" s="10">
        <v>286</v>
      </c>
      <c r="B138" s="4" t="s">
        <v>303</v>
      </c>
      <c r="C138" s="24" t="s">
        <v>334</v>
      </c>
      <c r="D138" s="10">
        <v>7263</v>
      </c>
      <c r="E138" s="15">
        <v>39117</v>
      </c>
      <c r="F138" s="64" t="s">
        <v>560</v>
      </c>
      <c r="G138" s="10"/>
      <c r="H138" s="75">
        <v>39133</v>
      </c>
      <c r="I138" s="10"/>
      <c r="J138" s="10"/>
      <c r="K138" s="3"/>
    </row>
    <row r="139" spans="1:11" x14ac:dyDescent="0.25">
      <c r="A139" s="12">
        <v>287</v>
      </c>
      <c r="B139" s="4" t="s">
        <v>303</v>
      </c>
      <c r="C139" s="24" t="s">
        <v>341</v>
      </c>
      <c r="D139" s="10">
        <v>7263</v>
      </c>
      <c r="E139" s="15">
        <v>39117</v>
      </c>
      <c r="F139" s="64" t="s">
        <v>560</v>
      </c>
      <c r="G139" s="10"/>
      <c r="H139" s="75">
        <v>39133</v>
      </c>
      <c r="I139" s="10"/>
      <c r="J139" s="10"/>
      <c r="K139" s="3"/>
    </row>
    <row r="140" spans="1:11" x14ac:dyDescent="0.25">
      <c r="A140" s="12">
        <v>288</v>
      </c>
      <c r="B140" s="4" t="s">
        <v>303</v>
      </c>
      <c r="C140" s="24" t="s">
        <v>339</v>
      </c>
      <c r="D140" s="10">
        <v>7263</v>
      </c>
      <c r="E140" s="15">
        <v>39117</v>
      </c>
      <c r="F140" s="64" t="s">
        <v>560</v>
      </c>
      <c r="G140" s="10"/>
      <c r="H140" s="75">
        <v>39133</v>
      </c>
      <c r="I140" s="10"/>
      <c r="J140" s="10"/>
      <c r="K140" s="3"/>
    </row>
    <row r="141" spans="1:11" x14ac:dyDescent="0.25">
      <c r="A141" s="12">
        <v>289</v>
      </c>
      <c r="B141" s="4" t="s">
        <v>303</v>
      </c>
      <c r="C141" s="24" t="s">
        <v>342</v>
      </c>
      <c r="D141" s="10">
        <v>7263</v>
      </c>
      <c r="E141" s="15">
        <v>39117</v>
      </c>
      <c r="F141" s="64" t="s">
        <v>560</v>
      </c>
      <c r="G141" s="10"/>
      <c r="H141" s="75">
        <v>39133</v>
      </c>
      <c r="I141" s="10"/>
      <c r="J141" s="10"/>
      <c r="K141" s="3"/>
    </row>
    <row r="142" spans="1:11" x14ac:dyDescent="0.25">
      <c r="A142" s="11">
        <v>290</v>
      </c>
      <c r="B142" s="5" t="s">
        <v>343</v>
      </c>
      <c r="C142" s="25" t="s">
        <v>344</v>
      </c>
      <c r="D142" s="11">
        <v>7259</v>
      </c>
      <c r="E142" s="17">
        <v>39121</v>
      </c>
      <c r="F142" s="85" t="s">
        <v>348</v>
      </c>
      <c r="G142" s="10"/>
      <c r="H142" s="75">
        <v>39133</v>
      </c>
      <c r="I142" s="10"/>
      <c r="J142" s="10"/>
      <c r="K142" s="3"/>
    </row>
    <row r="143" spans="1:11" x14ac:dyDescent="0.25">
      <c r="A143" s="12">
        <v>291</v>
      </c>
      <c r="B143" s="7" t="s">
        <v>221</v>
      </c>
      <c r="C143" s="26" t="s">
        <v>345</v>
      </c>
      <c r="D143" s="12">
        <v>7259</v>
      </c>
      <c r="E143" s="18">
        <v>39121</v>
      </c>
      <c r="F143" s="62" t="s">
        <v>348</v>
      </c>
      <c r="G143" s="10"/>
      <c r="H143" s="75">
        <v>39133</v>
      </c>
      <c r="I143" s="10"/>
      <c r="J143" s="10"/>
      <c r="K143" s="3"/>
    </row>
    <row r="144" spans="1:11" x14ac:dyDescent="0.25">
      <c r="A144" s="12">
        <v>292</v>
      </c>
      <c r="B144" s="7" t="s">
        <v>221</v>
      </c>
      <c r="C144" s="26" t="s">
        <v>346</v>
      </c>
      <c r="D144" s="12">
        <v>7259</v>
      </c>
      <c r="E144" s="15">
        <v>39121</v>
      </c>
      <c r="F144" s="62" t="s">
        <v>348</v>
      </c>
      <c r="G144" s="10"/>
      <c r="H144" s="75">
        <v>39133</v>
      </c>
      <c r="I144" s="10"/>
      <c r="J144" s="10"/>
      <c r="K144" s="3"/>
    </row>
    <row r="145" spans="1:11" x14ac:dyDescent="0.25">
      <c r="A145" s="12">
        <v>293</v>
      </c>
      <c r="B145" s="7" t="s">
        <v>221</v>
      </c>
      <c r="C145" s="26" t="s">
        <v>347</v>
      </c>
      <c r="D145" s="12">
        <v>7259</v>
      </c>
      <c r="E145" s="15">
        <v>39121</v>
      </c>
      <c r="F145" s="62" t="s">
        <v>348</v>
      </c>
      <c r="G145" s="10"/>
      <c r="H145" s="75">
        <v>39133</v>
      </c>
      <c r="I145" s="10"/>
      <c r="J145" s="10"/>
      <c r="K145" s="3"/>
    </row>
    <row r="146" spans="1:11" x14ac:dyDescent="0.25">
      <c r="A146" s="12">
        <v>294</v>
      </c>
      <c r="B146" s="7" t="s">
        <v>221</v>
      </c>
      <c r="C146" s="26" t="s">
        <v>350</v>
      </c>
      <c r="D146" s="12">
        <v>7259</v>
      </c>
      <c r="E146" s="15">
        <v>39121</v>
      </c>
      <c r="F146" s="64" t="s">
        <v>349</v>
      </c>
      <c r="G146" s="10"/>
      <c r="H146" s="75">
        <v>39133</v>
      </c>
      <c r="I146" s="10"/>
      <c r="J146" s="10"/>
      <c r="K146" s="3"/>
    </row>
    <row r="147" spans="1:11" x14ac:dyDescent="0.25">
      <c r="A147" s="12">
        <v>295</v>
      </c>
      <c r="B147" s="7" t="s">
        <v>221</v>
      </c>
      <c r="C147" s="26" t="s">
        <v>351</v>
      </c>
      <c r="D147" s="12">
        <v>7259</v>
      </c>
      <c r="E147" s="15">
        <v>39121</v>
      </c>
      <c r="F147" s="64" t="s">
        <v>349</v>
      </c>
      <c r="G147" s="10"/>
      <c r="H147" s="75">
        <v>39133</v>
      </c>
      <c r="I147" s="10"/>
      <c r="J147" s="10"/>
      <c r="K147" s="3"/>
    </row>
    <row r="148" spans="1:11" x14ac:dyDescent="0.25">
      <c r="A148" s="12">
        <v>296</v>
      </c>
      <c r="B148" s="7" t="s">
        <v>221</v>
      </c>
      <c r="C148" s="24"/>
      <c r="D148" s="10">
        <v>7149</v>
      </c>
      <c r="E148" s="19"/>
      <c r="F148" s="62" t="s">
        <v>352</v>
      </c>
      <c r="G148" s="10"/>
      <c r="H148" s="75">
        <v>39115</v>
      </c>
      <c r="I148" s="10"/>
      <c r="J148" s="10"/>
      <c r="K148" s="3"/>
    </row>
    <row r="149" spans="1:11" x14ac:dyDescent="0.25">
      <c r="A149" s="12">
        <v>297</v>
      </c>
      <c r="B149" s="7" t="s">
        <v>221</v>
      </c>
      <c r="C149" s="24"/>
      <c r="D149" s="10">
        <v>7149</v>
      </c>
      <c r="E149" s="19"/>
      <c r="F149" s="62" t="s">
        <v>352</v>
      </c>
      <c r="G149" s="10"/>
      <c r="H149" s="75">
        <v>39115</v>
      </c>
      <c r="I149" s="10"/>
      <c r="J149" s="10"/>
      <c r="K149" s="3"/>
    </row>
    <row r="150" spans="1:11" x14ac:dyDescent="0.25">
      <c r="A150" s="12">
        <v>298</v>
      </c>
      <c r="B150" s="7" t="s">
        <v>221</v>
      </c>
      <c r="C150" s="24"/>
      <c r="D150" s="10">
        <v>7149</v>
      </c>
      <c r="E150" s="18"/>
      <c r="F150" s="62" t="s">
        <v>353</v>
      </c>
      <c r="G150" s="10"/>
      <c r="H150" s="75">
        <v>39115</v>
      </c>
      <c r="I150" s="10"/>
      <c r="J150" s="10"/>
      <c r="K150" s="3"/>
    </row>
    <row r="151" spans="1:11" x14ac:dyDescent="0.25">
      <c r="A151" s="10">
        <v>299</v>
      </c>
      <c r="B151" s="7" t="s">
        <v>221</v>
      </c>
      <c r="C151" s="24" t="s">
        <v>354</v>
      </c>
      <c r="D151" s="10">
        <v>7275</v>
      </c>
      <c r="E151" s="15">
        <v>39146</v>
      </c>
      <c r="F151" s="64" t="s">
        <v>560</v>
      </c>
      <c r="G151" s="10"/>
      <c r="H151" s="75">
        <v>39149</v>
      </c>
      <c r="I151" s="10"/>
      <c r="J151" s="10"/>
      <c r="K151" s="3"/>
    </row>
    <row r="152" spans="1:11" x14ac:dyDescent="0.25">
      <c r="A152" s="10">
        <v>300</v>
      </c>
      <c r="B152" s="7" t="s">
        <v>221</v>
      </c>
      <c r="C152" s="24" t="s">
        <v>355</v>
      </c>
      <c r="D152" s="10">
        <v>7275</v>
      </c>
      <c r="E152" s="15">
        <v>39146</v>
      </c>
      <c r="F152" s="64" t="s">
        <v>560</v>
      </c>
      <c r="G152" s="10"/>
      <c r="H152" s="75">
        <v>39149</v>
      </c>
      <c r="I152" s="10"/>
      <c r="J152" s="10"/>
      <c r="K152" s="3"/>
    </row>
    <row r="153" spans="1:11" x14ac:dyDescent="0.25">
      <c r="A153" s="10">
        <v>301</v>
      </c>
      <c r="B153" s="7" t="s">
        <v>356</v>
      </c>
      <c r="C153" s="24" t="s">
        <v>357</v>
      </c>
      <c r="D153" s="10"/>
      <c r="E153" s="15">
        <v>39169</v>
      </c>
      <c r="F153" s="64"/>
      <c r="G153" s="10"/>
      <c r="H153" s="16"/>
      <c r="I153" s="10"/>
      <c r="J153" s="10"/>
      <c r="K153" s="3"/>
    </row>
    <row r="154" spans="1:11" x14ac:dyDescent="0.25">
      <c r="A154" s="10">
        <v>302</v>
      </c>
      <c r="B154" s="4" t="s">
        <v>356</v>
      </c>
      <c r="C154" s="24" t="s">
        <v>358</v>
      </c>
      <c r="D154" s="10"/>
      <c r="E154" s="15">
        <v>39169</v>
      </c>
      <c r="F154" s="64"/>
      <c r="G154" s="10"/>
      <c r="H154" s="16"/>
      <c r="I154" s="10"/>
      <c r="J154" s="10"/>
      <c r="K154" s="3"/>
    </row>
    <row r="155" spans="1:11" x14ac:dyDescent="0.25">
      <c r="A155" s="10">
        <v>303</v>
      </c>
      <c r="B155" s="4" t="s">
        <v>356</v>
      </c>
      <c r="C155" s="24" t="s">
        <v>359</v>
      </c>
      <c r="D155" s="10">
        <v>7307</v>
      </c>
      <c r="E155" s="15">
        <v>39177</v>
      </c>
      <c r="F155" s="64" t="s">
        <v>361</v>
      </c>
      <c r="G155" s="10"/>
      <c r="H155" s="20">
        <v>39183</v>
      </c>
      <c r="I155" s="10"/>
      <c r="J155" s="10"/>
      <c r="K155" s="3"/>
    </row>
    <row r="156" spans="1:11" x14ac:dyDescent="0.25">
      <c r="A156" s="10">
        <v>304</v>
      </c>
      <c r="B156" s="4" t="s">
        <v>356</v>
      </c>
      <c r="C156" s="24" t="s">
        <v>360</v>
      </c>
      <c r="D156" s="10">
        <v>7307</v>
      </c>
      <c r="E156" s="15">
        <v>39177</v>
      </c>
      <c r="F156" s="64" t="s">
        <v>362</v>
      </c>
      <c r="G156" s="10"/>
      <c r="H156" s="20">
        <v>39183</v>
      </c>
      <c r="I156" s="10"/>
      <c r="J156" s="10"/>
      <c r="K156" s="3"/>
    </row>
    <row r="157" spans="1:11" x14ac:dyDescent="0.25">
      <c r="A157" s="10">
        <v>305</v>
      </c>
      <c r="B157" s="4" t="s">
        <v>356</v>
      </c>
      <c r="C157" s="24" t="s">
        <v>291</v>
      </c>
      <c r="D157" s="10" t="s">
        <v>557</v>
      </c>
      <c r="E157" s="15">
        <v>39177</v>
      </c>
      <c r="F157" s="64" t="s">
        <v>363</v>
      </c>
      <c r="G157" s="10"/>
      <c r="H157" s="75">
        <v>39185</v>
      </c>
      <c r="I157" s="10"/>
      <c r="J157" s="10"/>
      <c r="K157" s="3"/>
    </row>
    <row r="158" spans="1:11" x14ac:dyDescent="0.25">
      <c r="A158" s="10">
        <v>306</v>
      </c>
      <c r="B158" s="4" t="s">
        <v>356</v>
      </c>
      <c r="C158" s="24" t="s">
        <v>365</v>
      </c>
      <c r="D158" s="10">
        <v>7285</v>
      </c>
      <c r="E158" s="15">
        <v>39190</v>
      </c>
      <c r="F158" s="64" t="s">
        <v>364</v>
      </c>
      <c r="G158" s="10"/>
      <c r="H158" s="75">
        <v>39191</v>
      </c>
      <c r="I158" s="10"/>
      <c r="J158" s="10"/>
      <c r="K158" s="3"/>
    </row>
    <row r="159" spans="1:11" x14ac:dyDescent="0.25">
      <c r="A159" s="10">
        <v>307</v>
      </c>
      <c r="B159" s="4" t="s">
        <v>356</v>
      </c>
      <c r="C159" s="24" t="s">
        <v>366</v>
      </c>
      <c r="D159" s="10">
        <v>7285</v>
      </c>
      <c r="E159" s="15">
        <v>39190</v>
      </c>
      <c r="F159" s="64" t="s">
        <v>364</v>
      </c>
      <c r="G159" s="10"/>
      <c r="H159" s="75">
        <v>39191</v>
      </c>
      <c r="I159" s="10"/>
      <c r="J159" s="10"/>
      <c r="K159" s="3"/>
    </row>
    <row r="160" spans="1:11" x14ac:dyDescent="0.25">
      <c r="A160" s="10">
        <v>308</v>
      </c>
      <c r="B160" s="4" t="s">
        <v>356</v>
      </c>
      <c r="C160" s="24" t="s">
        <v>367</v>
      </c>
      <c r="D160" s="10">
        <v>7259</v>
      </c>
      <c r="E160" s="15">
        <v>39218</v>
      </c>
      <c r="F160" s="64" t="s">
        <v>361</v>
      </c>
      <c r="G160" s="10"/>
      <c r="H160" s="75">
        <v>39133</v>
      </c>
      <c r="I160" s="10"/>
      <c r="J160" s="10"/>
      <c r="K160" s="3"/>
    </row>
    <row r="161" spans="1:11" x14ac:dyDescent="0.25">
      <c r="A161" s="10">
        <v>309</v>
      </c>
      <c r="B161" s="4" t="s">
        <v>356</v>
      </c>
      <c r="C161" s="24" t="s">
        <v>367</v>
      </c>
      <c r="D161" s="10">
        <v>7307</v>
      </c>
      <c r="E161" s="15">
        <v>39218</v>
      </c>
      <c r="F161" s="64" t="s">
        <v>361</v>
      </c>
      <c r="G161" s="10"/>
      <c r="H161" s="20">
        <v>39183</v>
      </c>
      <c r="I161" s="10"/>
      <c r="J161" s="10"/>
      <c r="K161" s="3"/>
    </row>
    <row r="162" spans="1:11" x14ac:dyDescent="0.25">
      <c r="A162" s="10">
        <v>310</v>
      </c>
      <c r="B162" s="4" t="s">
        <v>356</v>
      </c>
      <c r="C162" s="24" t="s">
        <v>368</v>
      </c>
      <c r="D162" s="10">
        <v>7321</v>
      </c>
      <c r="E162" s="15">
        <v>39234</v>
      </c>
      <c r="F162" s="64" t="s">
        <v>352</v>
      </c>
      <c r="G162" s="10"/>
      <c r="H162" s="75">
        <v>39244</v>
      </c>
      <c r="I162" s="10"/>
      <c r="J162" s="10"/>
      <c r="K162" s="3"/>
    </row>
    <row r="163" spans="1:11" x14ac:dyDescent="0.25">
      <c r="A163" s="10">
        <v>311</v>
      </c>
      <c r="B163" s="4" t="s">
        <v>356</v>
      </c>
      <c r="C163" s="24" t="s">
        <v>370</v>
      </c>
      <c r="D163" s="10">
        <v>7321</v>
      </c>
      <c r="E163" s="15">
        <v>39234</v>
      </c>
      <c r="F163" s="64" t="s">
        <v>352</v>
      </c>
      <c r="G163" s="10"/>
      <c r="H163" s="75">
        <v>39244</v>
      </c>
      <c r="I163" s="10"/>
      <c r="J163" s="10"/>
      <c r="K163" s="3"/>
    </row>
    <row r="164" spans="1:11" x14ac:dyDescent="0.25">
      <c r="A164" s="10">
        <v>312</v>
      </c>
      <c r="B164" s="4" t="s">
        <v>356</v>
      </c>
      <c r="C164" s="24" t="s">
        <v>369</v>
      </c>
      <c r="D164" s="10">
        <v>7326</v>
      </c>
      <c r="E164" s="15">
        <v>39234</v>
      </c>
      <c r="F164" s="64" t="s">
        <v>352</v>
      </c>
      <c r="G164" s="10"/>
      <c r="H164" s="75">
        <v>39244</v>
      </c>
      <c r="I164" s="10"/>
      <c r="J164" s="10"/>
      <c r="K164" s="3"/>
    </row>
    <row r="165" spans="1:11" x14ac:dyDescent="0.25">
      <c r="A165" s="10">
        <v>313</v>
      </c>
      <c r="B165" s="4" t="s">
        <v>356</v>
      </c>
      <c r="C165" s="24" t="s">
        <v>373</v>
      </c>
      <c r="D165" s="10">
        <v>7326</v>
      </c>
      <c r="E165" s="15">
        <v>39234</v>
      </c>
      <c r="F165" s="64" t="s">
        <v>352</v>
      </c>
      <c r="G165" s="10"/>
      <c r="H165" s="75">
        <v>39244</v>
      </c>
      <c r="I165" s="10"/>
      <c r="J165" s="10"/>
      <c r="K165" s="3"/>
    </row>
    <row r="166" spans="1:11" x14ac:dyDescent="0.25">
      <c r="A166" s="10">
        <v>314</v>
      </c>
      <c r="B166" s="4" t="s">
        <v>356</v>
      </c>
      <c r="C166" s="24" t="s">
        <v>374</v>
      </c>
      <c r="D166" s="10">
        <v>7259</v>
      </c>
      <c r="E166" s="15">
        <v>39286</v>
      </c>
      <c r="F166" s="85" t="s">
        <v>348</v>
      </c>
      <c r="G166" s="10"/>
      <c r="H166" s="75">
        <v>39133</v>
      </c>
      <c r="I166" s="10"/>
      <c r="J166" s="10"/>
      <c r="K166" s="3"/>
    </row>
    <row r="167" spans="1:11" x14ac:dyDescent="0.25">
      <c r="A167" s="10">
        <v>315</v>
      </c>
      <c r="B167" s="4" t="s">
        <v>356</v>
      </c>
      <c r="C167" s="24" t="s">
        <v>375</v>
      </c>
      <c r="D167" s="10">
        <v>7225</v>
      </c>
      <c r="E167" s="15">
        <v>39286</v>
      </c>
      <c r="F167" s="64" t="s">
        <v>348</v>
      </c>
      <c r="G167" s="10"/>
      <c r="H167" s="16"/>
      <c r="I167" s="10"/>
      <c r="J167" s="10"/>
      <c r="K167" s="3"/>
    </row>
    <row r="168" spans="1:11" x14ac:dyDescent="0.25">
      <c r="A168" s="12">
        <v>316</v>
      </c>
      <c r="B168" s="4" t="s">
        <v>356</v>
      </c>
      <c r="C168" s="26" t="s">
        <v>376</v>
      </c>
      <c r="D168" s="10">
        <v>7259</v>
      </c>
      <c r="E168" s="15">
        <v>39286</v>
      </c>
      <c r="F168" s="62" t="s">
        <v>348</v>
      </c>
      <c r="G168" s="10"/>
      <c r="H168" s="75">
        <v>39133</v>
      </c>
      <c r="I168" s="10"/>
      <c r="J168" s="10"/>
      <c r="K168" s="3"/>
    </row>
    <row r="169" spans="1:11" x14ac:dyDescent="0.25">
      <c r="A169" s="12">
        <v>317</v>
      </c>
      <c r="B169" s="4" t="s">
        <v>356</v>
      </c>
      <c r="C169" s="26" t="s">
        <v>377</v>
      </c>
      <c r="D169" s="10"/>
      <c r="E169" s="15">
        <v>39286</v>
      </c>
      <c r="F169" s="64" t="s">
        <v>348</v>
      </c>
      <c r="G169" s="10"/>
      <c r="H169" s="16"/>
      <c r="I169" s="10"/>
      <c r="J169" s="10"/>
      <c r="K169" s="3"/>
    </row>
    <row r="170" spans="1:11" x14ac:dyDescent="0.25">
      <c r="A170" s="12">
        <v>318</v>
      </c>
      <c r="B170" s="4" t="s">
        <v>356</v>
      </c>
      <c r="C170" s="26" t="s">
        <v>378</v>
      </c>
      <c r="D170" s="10"/>
      <c r="E170" s="15">
        <v>39286</v>
      </c>
      <c r="F170" s="64" t="s">
        <v>348</v>
      </c>
      <c r="G170" s="10"/>
      <c r="H170" s="16"/>
      <c r="I170" s="10"/>
      <c r="J170" s="10"/>
      <c r="K170" s="3"/>
    </row>
    <row r="171" spans="1:11" x14ac:dyDescent="0.25">
      <c r="A171" s="12">
        <v>319</v>
      </c>
      <c r="B171" s="4" t="s">
        <v>356</v>
      </c>
      <c r="C171" s="26" t="s">
        <v>379</v>
      </c>
      <c r="D171" s="10"/>
      <c r="E171" s="15">
        <v>39286</v>
      </c>
      <c r="F171" s="64" t="s">
        <v>348</v>
      </c>
      <c r="G171" s="10"/>
      <c r="H171" s="16"/>
      <c r="I171" s="10"/>
      <c r="J171" s="10"/>
      <c r="K171" s="3"/>
    </row>
    <row r="172" spans="1:11" x14ac:dyDescent="0.25">
      <c r="A172" s="12">
        <v>320</v>
      </c>
      <c r="B172" s="4" t="s">
        <v>356</v>
      </c>
      <c r="C172" s="26" t="s">
        <v>380</v>
      </c>
      <c r="D172" s="10"/>
      <c r="E172" s="15">
        <v>39286</v>
      </c>
      <c r="F172" s="64" t="s">
        <v>348</v>
      </c>
      <c r="G172" s="10"/>
      <c r="H172" s="16"/>
      <c r="I172" s="10"/>
      <c r="J172" s="10"/>
      <c r="K172" s="3"/>
    </row>
    <row r="173" spans="1:11" x14ac:dyDescent="0.25">
      <c r="A173" s="12">
        <v>321</v>
      </c>
      <c r="B173" s="4" t="s">
        <v>356</v>
      </c>
      <c r="C173" s="26" t="s">
        <v>381</v>
      </c>
      <c r="D173" s="10"/>
      <c r="E173" s="15">
        <v>39286</v>
      </c>
      <c r="F173" s="64" t="s">
        <v>385</v>
      </c>
      <c r="G173" s="10"/>
      <c r="H173" s="16"/>
      <c r="I173" s="10"/>
      <c r="J173" s="10"/>
      <c r="K173" s="3"/>
    </row>
    <row r="174" spans="1:11" x14ac:dyDescent="0.25">
      <c r="A174" s="12">
        <v>322</v>
      </c>
      <c r="B174" s="4" t="s">
        <v>356</v>
      </c>
      <c r="C174" s="26" t="s">
        <v>382</v>
      </c>
      <c r="D174" s="10">
        <v>7330</v>
      </c>
      <c r="E174" s="15">
        <v>39286</v>
      </c>
      <c r="F174" s="64" t="s">
        <v>384</v>
      </c>
      <c r="G174" s="10"/>
      <c r="H174" s="75">
        <v>39294</v>
      </c>
      <c r="I174" s="10"/>
      <c r="J174" s="10"/>
      <c r="K174" s="3"/>
    </row>
    <row r="175" spans="1:11" x14ac:dyDescent="0.25">
      <c r="A175" s="12">
        <v>323</v>
      </c>
      <c r="B175" s="4" t="s">
        <v>356</v>
      </c>
      <c r="C175" s="26" t="s">
        <v>388</v>
      </c>
      <c r="D175" s="10">
        <v>7259</v>
      </c>
      <c r="E175" s="15">
        <v>39286</v>
      </c>
      <c r="F175" s="64" t="s">
        <v>386</v>
      </c>
      <c r="G175" s="10"/>
      <c r="H175" s="75">
        <v>39133</v>
      </c>
      <c r="I175" s="10"/>
      <c r="J175" s="10"/>
      <c r="K175" s="3"/>
    </row>
    <row r="176" spans="1:11" x14ac:dyDescent="0.25">
      <c r="A176" s="12">
        <v>324</v>
      </c>
      <c r="B176" s="4" t="s">
        <v>356</v>
      </c>
      <c r="C176" s="26" t="s">
        <v>383</v>
      </c>
      <c r="D176" s="10">
        <v>7330</v>
      </c>
      <c r="E176" s="15">
        <v>39286</v>
      </c>
      <c r="F176" s="64" t="s">
        <v>384</v>
      </c>
      <c r="G176" s="10"/>
      <c r="H176" s="75">
        <v>39294</v>
      </c>
      <c r="I176" s="10"/>
      <c r="J176" s="10"/>
      <c r="K176" s="3"/>
    </row>
    <row r="177" spans="1:11" x14ac:dyDescent="0.25">
      <c r="A177" s="12">
        <v>325</v>
      </c>
      <c r="B177" s="4" t="s">
        <v>356</v>
      </c>
      <c r="C177" s="24"/>
      <c r="D177" s="10">
        <v>7337</v>
      </c>
      <c r="E177" s="15">
        <v>39286</v>
      </c>
      <c r="F177" s="64" t="s">
        <v>387</v>
      </c>
      <c r="G177" s="10"/>
      <c r="H177" s="75">
        <v>39427</v>
      </c>
      <c r="I177" s="10"/>
      <c r="J177" s="10"/>
      <c r="K177" s="3"/>
    </row>
    <row r="178" spans="1:11" x14ac:dyDescent="0.25">
      <c r="A178" s="12">
        <v>326</v>
      </c>
      <c r="B178" s="4" t="s">
        <v>356</v>
      </c>
      <c r="C178" s="24"/>
      <c r="D178" s="10">
        <v>7337</v>
      </c>
      <c r="E178" s="15">
        <v>39287</v>
      </c>
      <c r="F178" s="64" t="s">
        <v>387</v>
      </c>
      <c r="G178" s="10"/>
      <c r="H178" s="75">
        <v>39427</v>
      </c>
      <c r="I178" s="10"/>
      <c r="J178" s="10"/>
      <c r="K178" s="3"/>
    </row>
    <row r="179" spans="1:11" x14ac:dyDescent="0.25">
      <c r="A179" s="12">
        <v>327</v>
      </c>
      <c r="B179" s="4" t="s">
        <v>551</v>
      </c>
      <c r="C179" s="24" t="s">
        <v>390</v>
      </c>
      <c r="D179" s="10">
        <v>7259</v>
      </c>
      <c r="E179" s="15">
        <v>39287</v>
      </c>
      <c r="F179" s="64" t="s">
        <v>389</v>
      </c>
      <c r="G179" s="10"/>
      <c r="H179" s="75">
        <v>39133</v>
      </c>
      <c r="I179" s="10"/>
      <c r="J179" s="10"/>
      <c r="K179" s="3"/>
    </row>
    <row r="180" spans="1:11" x14ac:dyDescent="0.25">
      <c r="A180" s="12">
        <v>328</v>
      </c>
      <c r="B180" s="4" t="s">
        <v>551</v>
      </c>
      <c r="C180" s="24" t="s">
        <v>391</v>
      </c>
      <c r="D180" s="10"/>
      <c r="E180" s="15">
        <v>39295</v>
      </c>
      <c r="F180" s="64" t="s">
        <v>389</v>
      </c>
      <c r="G180" s="10"/>
      <c r="H180" s="16"/>
      <c r="I180" s="10"/>
      <c r="J180" s="10"/>
      <c r="K180" s="3"/>
    </row>
    <row r="181" spans="1:11" x14ac:dyDescent="0.25">
      <c r="A181" s="12">
        <v>329</v>
      </c>
      <c r="B181" s="4" t="s">
        <v>551</v>
      </c>
      <c r="C181" s="24" t="s">
        <v>392</v>
      </c>
      <c r="D181" s="10"/>
      <c r="E181" s="15">
        <v>39295</v>
      </c>
      <c r="F181" s="64" t="s">
        <v>389</v>
      </c>
      <c r="G181" s="10"/>
      <c r="H181" s="16"/>
      <c r="I181" s="10"/>
      <c r="J181" s="10"/>
      <c r="K181" s="3"/>
    </row>
    <row r="182" spans="1:11" x14ac:dyDescent="0.25">
      <c r="A182" s="12">
        <v>330</v>
      </c>
      <c r="B182" s="4" t="s">
        <v>356</v>
      </c>
      <c r="C182" s="24" t="s">
        <v>393</v>
      </c>
      <c r="D182" s="10">
        <v>7259</v>
      </c>
      <c r="E182" s="15">
        <v>39297</v>
      </c>
      <c r="F182" s="64" t="s">
        <v>386</v>
      </c>
      <c r="G182" s="10"/>
      <c r="H182" s="75">
        <v>39133</v>
      </c>
      <c r="I182" s="10"/>
      <c r="J182" s="10"/>
      <c r="K182" s="3"/>
    </row>
    <row r="183" spans="1:11" x14ac:dyDescent="0.25">
      <c r="A183" s="12">
        <v>331</v>
      </c>
      <c r="B183" s="4" t="s">
        <v>356</v>
      </c>
      <c r="C183" s="24" t="s">
        <v>394</v>
      </c>
      <c r="D183" s="10">
        <v>7322</v>
      </c>
      <c r="E183" s="19">
        <v>39300</v>
      </c>
      <c r="F183" s="64" t="s">
        <v>352</v>
      </c>
      <c r="G183" s="10"/>
      <c r="H183" s="75">
        <v>39301</v>
      </c>
      <c r="I183" s="10"/>
      <c r="J183" s="10"/>
      <c r="K183" s="3"/>
    </row>
    <row r="184" spans="1:11" x14ac:dyDescent="0.25">
      <c r="A184" s="12">
        <v>332</v>
      </c>
      <c r="B184" s="4" t="s">
        <v>356</v>
      </c>
      <c r="C184" s="24" t="s">
        <v>395</v>
      </c>
      <c r="D184" s="10">
        <v>7322</v>
      </c>
      <c r="E184" s="15">
        <v>39300</v>
      </c>
      <c r="F184" s="64" t="s">
        <v>352</v>
      </c>
      <c r="G184" s="10"/>
      <c r="H184" s="75">
        <v>39301</v>
      </c>
      <c r="I184" s="10"/>
      <c r="J184" s="10"/>
      <c r="K184" s="3"/>
    </row>
    <row r="185" spans="1:11" x14ac:dyDescent="0.25">
      <c r="A185" s="12">
        <v>333</v>
      </c>
      <c r="B185" s="4" t="s">
        <v>356</v>
      </c>
      <c r="C185" s="24" t="s">
        <v>396</v>
      </c>
      <c r="D185" s="10">
        <v>7322</v>
      </c>
      <c r="E185" s="15">
        <v>39300</v>
      </c>
      <c r="F185" s="64" t="s">
        <v>352</v>
      </c>
      <c r="G185" s="10"/>
      <c r="H185" s="75">
        <v>39301</v>
      </c>
      <c r="I185" s="10"/>
      <c r="J185" s="10"/>
      <c r="K185" s="3"/>
    </row>
    <row r="186" spans="1:11" x14ac:dyDescent="0.25">
      <c r="A186" s="12">
        <v>334</v>
      </c>
      <c r="B186" s="4" t="s">
        <v>356</v>
      </c>
      <c r="C186" s="24" t="s">
        <v>397</v>
      </c>
      <c r="D186" s="10">
        <v>7322</v>
      </c>
      <c r="E186" s="15">
        <v>39300</v>
      </c>
      <c r="F186" s="64" t="s">
        <v>352</v>
      </c>
      <c r="G186" s="10"/>
      <c r="H186" s="75">
        <v>39301</v>
      </c>
      <c r="I186" s="10"/>
      <c r="J186" s="10"/>
      <c r="K186" s="3"/>
    </row>
    <row r="187" spans="1:11" x14ac:dyDescent="0.25">
      <c r="A187" s="10">
        <v>335</v>
      </c>
      <c r="B187" s="4" t="s">
        <v>551</v>
      </c>
      <c r="C187" s="24" t="s">
        <v>398</v>
      </c>
      <c r="D187" s="10">
        <v>7225</v>
      </c>
      <c r="E187" s="15">
        <v>39316</v>
      </c>
      <c r="F187" s="64" t="s">
        <v>405</v>
      </c>
      <c r="G187" s="10"/>
      <c r="H187" s="75">
        <v>39293</v>
      </c>
      <c r="I187" s="10"/>
      <c r="J187" s="10"/>
      <c r="K187" s="3"/>
    </row>
    <row r="188" spans="1:11" x14ac:dyDescent="0.25">
      <c r="A188" s="10"/>
      <c r="B188" s="4" t="s">
        <v>551</v>
      </c>
      <c r="C188" s="24" t="s">
        <v>414</v>
      </c>
      <c r="D188" s="10">
        <v>7225</v>
      </c>
      <c r="E188" s="15">
        <v>39316</v>
      </c>
      <c r="F188" s="64" t="s">
        <v>404</v>
      </c>
      <c r="G188" s="10"/>
      <c r="H188" s="75">
        <v>39293</v>
      </c>
      <c r="I188" s="10"/>
      <c r="J188" s="10"/>
      <c r="K188" s="3"/>
    </row>
    <row r="189" spans="1:11" x14ac:dyDescent="0.25">
      <c r="A189" s="10">
        <v>336</v>
      </c>
      <c r="B189" s="4" t="s">
        <v>551</v>
      </c>
      <c r="C189" s="24" t="s">
        <v>417</v>
      </c>
      <c r="D189" s="10">
        <v>7225</v>
      </c>
      <c r="E189" s="15">
        <v>39316</v>
      </c>
      <c r="F189" s="64" t="s">
        <v>405</v>
      </c>
      <c r="G189" s="10"/>
      <c r="H189" s="75">
        <v>39293</v>
      </c>
      <c r="I189" s="10"/>
      <c r="J189" s="10"/>
      <c r="K189" s="3"/>
    </row>
    <row r="190" spans="1:11" x14ac:dyDescent="0.25">
      <c r="A190" s="10"/>
      <c r="B190" s="4" t="s">
        <v>551</v>
      </c>
      <c r="C190" s="24" t="s">
        <v>413</v>
      </c>
      <c r="D190" s="10">
        <v>7225</v>
      </c>
      <c r="E190" s="15">
        <v>39316</v>
      </c>
      <c r="F190" s="64" t="s">
        <v>404</v>
      </c>
      <c r="G190" s="10"/>
      <c r="H190" s="75">
        <v>39293</v>
      </c>
      <c r="I190" s="10"/>
      <c r="J190" s="10"/>
      <c r="K190" s="3"/>
    </row>
    <row r="191" spans="1:11" x14ac:dyDescent="0.25">
      <c r="A191" s="10">
        <v>337</v>
      </c>
      <c r="B191" s="4" t="s">
        <v>551</v>
      </c>
      <c r="C191" s="24" t="s">
        <v>319</v>
      </c>
      <c r="D191" s="10">
        <v>7225</v>
      </c>
      <c r="E191" s="15">
        <v>39316</v>
      </c>
      <c r="F191" s="64" t="s">
        <v>405</v>
      </c>
      <c r="G191" s="10"/>
      <c r="H191" s="75">
        <v>39293</v>
      </c>
      <c r="I191" s="10"/>
      <c r="J191" s="10"/>
      <c r="K191" s="3"/>
    </row>
    <row r="192" spans="1:11" x14ac:dyDescent="0.25">
      <c r="A192" s="10"/>
      <c r="B192" s="4" t="s">
        <v>551</v>
      </c>
      <c r="C192" s="24" t="s">
        <v>418</v>
      </c>
      <c r="D192" s="10">
        <v>7225</v>
      </c>
      <c r="E192" s="15">
        <v>39316</v>
      </c>
      <c r="F192" s="64" t="s">
        <v>404</v>
      </c>
      <c r="G192" s="10"/>
      <c r="H192" s="75">
        <v>39293</v>
      </c>
      <c r="I192" s="10"/>
      <c r="J192" s="10"/>
      <c r="K192" s="3"/>
    </row>
    <row r="193" spans="1:11" x14ac:dyDescent="0.25">
      <c r="A193" s="10">
        <v>338</v>
      </c>
      <c r="B193" s="4" t="s">
        <v>551</v>
      </c>
      <c r="C193" s="24" t="s">
        <v>828</v>
      </c>
      <c r="D193" s="10">
        <v>7225</v>
      </c>
      <c r="E193" s="15">
        <v>39316</v>
      </c>
      <c r="F193" s="64" t="s">
        <v>405</v>
      </c>
      <c r="G193" s="10"/>
      <c r="H193" s="75">
        <v>39293</v>
      </c>
      <c r="I193" s="10"/>
      <c r="J193" s="10"/>
      <c r="K193" s="3"/>
    </row>
    <row r="194" spans="1:11" x14ac:dyDescent="0.25">
      <c r="A194" s="10"/>
      <c r="B194" s="4" t="s">
        <v>551</v>
      </c>
      <c r="C194" s="24" t="s">
        <v>829</v>
      </c>
      <c r="D194" s="10">
        <v>7225</v>
      </c>
      <c r="E194" s="15">
        <v>39316</v>
      </c>
      <c r="F194" s="64" t="s">
        <v>404</v>
      </c>
      <c r="G194" s="10"/>
      <c r="H194" s="75">
        <v>39293</v>
      </c>
      <c r="I194" s="10"/>
      <c r="J194" s="10"/>
      <c r="K194" s="3"/>
    </row>
    <row r="195" spans="1:11" x14ac:dyDescent="0.25">
      <c r="A195" s="10">
        <v>339</v>
      </c>
      <c r="B195" s="4" t="s">
        <v>551</v>
      </c>
      <c r="C195" s="24" t="s">
        <v>412</v>
      </c>
      <c r="D195" s="10">
        <v>7225</v>
      </c>
      <c r="E195" s="15">
        <v>39316</v>
      </c>
      <c r="F195" s="64" t="s">
        <v>405</v>
      </c>
      <c r="G195" s="10"/>
      <c r="H195" s="75">
        <v>39293</v>
      </c>
      <c r="I195" s="10"/>
      <c r="J195" s="10"/>
      <c r="K195" s="3"/>
    </row>
    <row r="196" spans="1:11" x14ac:dyDescent="0.25">
      <c r="A196" s="10"/>
      <c r="B196" s="4" t="s">
        <v>551</v>
      </c>
      <c r="C196" s="24" t="s">
        <v>318</v>
      </c>
      <c r="D196" s="10">
        <v>7225</v>
      </c>
      <c r="E196" s="15">
        <v>39316</v>
      </c>
      <c r="F196" s="64" t="s">
        <v>404</v>
      </c>
      <c r="G196" s="10"/>
      <c r="H196" s="75">
        <v>39293</v>
      </c>
      <c r="I196" s="10"/>
      <c r="J196" s="10"/>
      <c r="K196" s="3"/>
    </row>
    <row r="197" spans="1:11" x14ac:dyDescent="0.25">
      <c r="A197" s="10">
        <v>340</v>
      </c>
      <c r="B197" s="4" t="s">
        <v>551</v>
      </c>
      <c r="C197" s="24" t="s">
        <v>399</v>
      </c>
      <c r="D197" s="10">
        <v>7225</v>
      </c>
      <c r="E197" s="15">
        <v>39316</v>
      </c>
      <c r="F197" s="64" t="s">
        <v>405</v>
      </c>
      <c r="G197" s="10"/>
      <c r="H197" s="75">
        <v>39293</v>
      </c>
      <c r="I197" s="10"/>
      <c r="J197" s="10"/>
      <c r="K197" s="3"/>
    </row>
    <row r="198" spans="1:11" x14ac:dyDescent="0.25">
      <c r="A198" s="10"/>
      <c r="B198" s="4" t="s">
        <v>551</v>
      </c>
      <c r="C198" s="24" t="s">
        <v>400</v>
      </c>
      <c r="D198" s="10">
        <v>7225</v>
      </c>
      <c r="E198" s="15">
        <v>39316</v>
      </c>
      <c r="F198" s="64" t="s">
        <v>404</v>
      </c>
      <c r="G198" s="10"/>
      <c r="H198" s="75">
        <v>39293</v>
      </c>
      <c r="I198" s="10"/>
      <c r="J198" s="10"/>
      <c r="K198" s="3"/>
    </row>
    <row r="199" spans="1:11" x14ac:dyDescent="0.25">
      <c r="A199" s="10">
        <v>341</v>
      </c>
      <c r="B199" s="4" t="s">
        <v>356</v>
      </c>
      <c r="C199" s="24" t="s">
        <v>401</v>
      </c>
      <c r="D199" s="10">
        <v>7225</v>
      </c>
      <c r="E199" s="15">
        <v>39316</v>
      </c>
      <c r="F199" s="64" t="s">
        <v>406</v>
      </c>
      <c r="G199" s="10"/>
      <c r="H199" s="75">
        <v>39293</v>
      </c>
      <c r="I199" s="10"/>
      <c r="J199" s="10"/>
      <c r="K199" s="3"/>
    </row>
    <row r="200" spans="1:11" x14ac:dyDescent="0.25">
      <c r="A200" s="10">
        <v>342</v>
      </c>
      <c r="B200" s="4" t="s">
        <v>356</v>
      </c>
      <c r="C200" s="24" t="s">
        <v>402</v>
      </c>
      <c r="D200" s="10">
        <v>7225</v>
      </c>
      <c r="E200" s="15">
        <v>39316</v>
      </c>
      <c r="F200" s="64" t="s">
        <v>406</v>
      </c>
      <c r="G200" s="10"/>
      <c r="H200" s="75">
        <v>39293</v>
      </c>
      <c r="I200" s="10"/>
      <c r="J200" s="10"/>
      <c r="K200" s="3"/>
    </row>
    <row r="201" spans="1:11" x14ac:dyDescent="0.25">
      <c r="A201" s="10">
        <v>343</v>
      </c>
      <c r="B201" s="4" t="s">
        <v>356</v>
      </c>
      <c r="C201" s="24" t="s">
        <v>403</v>
      </c>
      <c r="D201" s="10">
        <v>7225</v>
      </c>
      <c r="E201" s="15">
        <v>39316</v>
      </c>
      <c r="F201" s="64" t="s">
        <v>406</v>
      </c>
      <c r="G201" s="10"/>
      <c r="H201" s="75">
        <v>39293</v>
      </c>
      <c r="I201" s="10"/>
      <c r="J201" s="10"/>
      <c r="K201" s="3"/>
    </row>
    <row r="202" spans="1:11" x14ac:dyDescent="0.25">
      <c r="A202" s="10">
        <v>344</v>
      </c>
      <c r="B202" s="4" t="s">
        <v>356</v>
      </c>
      <c r="C202" s="24" t="s">
        <v>408</v>
      </c>
      <c r="D202" s="10">
        <v>7354</v>
      </c>
      <c r="E202" s="19">
        <v>39331</v>
      </c>
      <c r="F202" s="64" t="s">
        <v>407</v>
      </c>
      <c r="G202" s="10"/>
      <c r="H202" s="75">
        <v>39331</v>
      </c>
      <c r="I202" s="10"/>
      <c r="J202" s="10"/>
      <c r="K202" s="3"/>
    </row>
    <row r="203" spans="1:11" x14ac:dyDescent="0.25">
      <c r="A203" s="10">
        <v>345</v>
      </c>
      <c r="B203" s="4" t="s">
        <v>356</v>
      </c>
      <c r="C203" s="24" t="s">
        <v>410</v>
      </c>
      <c r="D203" s="10">
        <v>7334</v>
      </c>
      <c r="E203" s="19">
        <v>39325</v>
      </c>
      <c r="F203" s="64" t="s">
        <v>352</v>
      </c>
      <c r="G203" s="10"/>
      <c r="H203" s="75">
        <v>39301</v>
      </c>
      <c r="I203" s="10"/>
      <c r="J203" s="10"/>
      <c r="K203" s="3"/>
    </row>
    <row r="204" spans="1:11" x14ac:dyDescent="0.25">
      <c r="A204" s="10">
        <v>346</v>
      </c>
      <c r="B204" s="4" t="s">
        <v>356</v>
      </c>
      <c r="C204" s="24" t="s">
        <v>409</v>
      </c>
      <c r="D204" s="10">
        <v>7334</v>
      </c>
      <c r="E204" s="19">
        <v>39325</v>
      </c>
      <c r="F204" s="64" t="s">
        <v>352</v>
      </c>
      <c r="G204" s="10"/>
      <c r="H204" s="75">
        <v>39301</v>
      </c>
      <c r="I204" s="10"/>
      <c r="J204" s="10"/>
      <c r="K204" s="3"/>
    </row>
    <row r="205" spans="1:11" x14ac:dyDescent="0.25">
      <c r="A205" s="10">
        <v>347</v>
      </c>
      <c r="B205" s="4" t="s">
        <v>356</v>
      </c>
      <c r="C205" s="24" t="s">
        <v>411</v>
      </c>
      <c r="D205" s="10"/>
      <c r="E205" s="19">
        <v>39330</v>
      </c>
      <c r="F205" s="64" t="s">
        <v>386</v>
      </c>
      <c r="G205" s="10"/>
      <c r="H205" s="16"/>
      <c r="I205" s="10"/>
      <c r="J205" s="10"/>
      <c r="K205" s="3"/>
    </row>
    <row r="206" spans="1:11" x14ac:dyDescent="0.25">
      <c r="A206" s="10">
        <v>348</v>
      </c>
      <c r="B206" s="4" t="s">
        <v>356</v>
      </c>
      <c r="C206" s="24" t="s">
        <v>419</v>
      </c>
      <c r="D206" s="10">
        <v>7378</v>
      </c>
      <c r="E206" s="19">
        <v>39344</v>
      </c>
      <c r="F206" s="64" t="s">
        <v>387</v>
      </c>
      <c r="G206" s="10"/>
      <c r="H206" s="75">
        <v>39351</v>
      </c>
      <c r="I206" s="10"/>
      <c r="J206" s="10"/>
      <c r="K206" s="3"/>
    </row>
    <row r="207" spans="1:11" x14ac:dyDescent="0.25">
      <c r="A207" s="10">
        <v>349</v>
      </c>
      <c r="B207" s="4" t="s">
        <v>356</v>
      </c>
      <c r="C207" s="24" t="s">
        <v>420</v>
      </c>
      <c r="D207" s="10">
        <v>7378</v>
      </c>
      <c r="E207" s="19">
        <v>39344</v>
      </c>
      <c r="F207" s="64" t="s">
        <v>387</v>
      </c>
      <c r="G207" s="10"/>
      <c r="H207" s="75">
        <v>39351</v>
      </c>
      <c r="I207" s="10"/>
      <c r="J207" s="10"/>
      <c r="K207" s="3"/>
    </row>
    <row r="208" spans="1:11" x14ac:dyDescent="0.25">
      <c r="A208" s="10">
        <v>350</v>
      </c>
      <c r="B208" s="4" t="s">
        <v>356</v>
      </c>
      <c r="C208" s="24" t="s">
        <v>421</v>
      </c>
      <c r="D208" s="10">
        <v>7378</v>
      </c>
      <c r="E208" s="19">
        <v>39344</v>
      </c>
      <c r="F208" s="64" t="s">
        <v>387</v>
      </c>
      <c r="G208" s="10"/>
      <c r="H208" s="75">
        <v>39351</v>
      </c>
      <c r="I208" s="10"/>
      <c r="J208" s="10"/>
      <c r="K208" s="3"/>
    </row>
    <row r="209" spans="1:11" x14ac:dyDescent="0.25">
      <c r="A209" s="10">
        <v>351</v>
      </c>
      <c r="B209" s="4" t="s">
        <v>551</v>
      </c>
      <c r="C209" s="24" t="s">
        <v>552</v>
      </c>
      <c r="D209" s="10">
        <v>7378</v>
      </c>
      <c r="E209" s="19">
        <v>39344</v>
      </c>
      <c r="F209" s="64" t="s">
        <v>553</v>
      </c>
      <c r="G209" s="10"/>
      <c r="H209" s="75">
        <v>39351</v>
      </c>
      <c r="I209" s="10"/>
      <c r="J209" s="10"/>
      <c r="K209" s="3"/>
    </row>
    <row r="210" spans="1:11" x14ac:dyDescent="0.25">
      <c r="A210" s="10">
        <v>352</v>
      </c>
      <c r="B210" s="4" t="s">
        <v>356</v>
      </c>
      <c r="C210" s="24" t="s">
        <v>424</v>
      </c>
      <c r="D210" s="10">
        <v>7298</v>
      </c>
      <c r="E210" s="19">
        <v>39346</v>
      </c>
      <c r="F210" s="64" t="s">
        <v>387</v>
      </c>
      <c r="G210" s="10"/>
      <c r="H210" s="75">
        <v>39350</v>
      </c>
      <c r="I210" s="10"/>
      <c r="J210" s="10"/>
      <c r="K210" s="3"/>
    </row>
    <row r="211" spans="1:11" x14ac:dyDescent="0.25">
      <c r="A211" s="10">
        <v>353</v>
      </c>
      <c r="B211" s="4" t="s">
        <v>356</v>
      </c>
      <c r="C211" s="24" t="s">
        <v>425</v>
      </c>
      <c r="D211" s="10">
        <v>7298</v>
      </c>
      <c r="E211" s="19">
        <v>39346</v>
      </c>
      <c r="F211" s="64" t="s">
        <v>352</v>
      </c>
      <c r="G211" s="10"/>
      <c r="H211" s="75">
        <v>39350</v>
      </c>
      <c r="I211" s="10"/>
      <c r="J211" s="10"/>
      <c r="K211" s="3"/>
    </row>
    <row r="212" spans="1:11" x14ac:dyDescent="0.25">
      <c r="A212" s="10">
        <v>354</v>
      </c>
      <c r="B212" s="4" t="s">
        <v>356</v>
      </c>
      <c r="C212" s="24" t="s">
        <v>426</v>
      </c>
      <c r="D212" s="10">
        <v>7298</v>
      </c>
      <c r="E212" s="19">
        <v>39346</v>
      </c>
      <c r="F212" s="64" t="s">
        <v>352</v>
      </c>
      <c r="G212" s="10"/>
      <c r="H212" s="75">
        <v>39350</v>
      </c>
      <c r="I212" s="10"/>
      <c r="J212" s="10"/>
      <c r="K212" s="3"/>
    </row>
    <row r="213" spans="1:11" x14ac:dyDescent="0.25">
      <c r="A213" s="10">
        <v>355</v>
      </c>
      <c r="B213" s="4" t="s">
        <v>356</v>
      </c>
      <c r="C213" s="24" t="s">
        <v>427</v>
      </c>
      <c r="D213" s="10">
        <v>7298</v>
      </c>
      <c r="E213" s="19">
        <v>39346</v>
      </c>
      <c r="F213" s="64" t="s">
        <v>352</v>
      </c>
      <c r="G213" s="10"/>
      <c r="H213" s="75">
        <v>39350</v>
      </c>
      <c r="I213" s="10"/>
      <c r="J213" s="10"/>
      <c r="K213" s="3"/>
    </row>
    <row r="214" spans="1:11" x14ac:dyDescent="0.25">
      <c r="A214" s="10">
        <v>356</v>
      </c>
      <c r="B214" s="4" t="s">
        <v>356</v>
      </c>
      <c r="C214" s="24" t="s">
        <v>428</v>
      </c>
      <c r="D214" s="10">
        <v>7298</v>
      </c>
      <c r="E214" s="19">
        <v>39346</v>
      </c>
      <c r="F214" s="64" t="s">
        <v>352</v>
      </c>
      <c r="G214" s="10"/>
      <c r="H214" s="75">
        <v>39350</v>
      </c>
      <c r="I214" s="10"/>
      <c r="J214" s="10"/>
      <c r="K214" s="3"/>
    </row>
    <row r="215" spans="1:11" x14ac:dyDescent="0.25">
      <c r="A215" s="10">
        <v>357</v>
      </c>
      <c r="B215" s="4" t="s">
        <v>356</v>
      </c>
      <c r="C215" s="24" t="s">
        <v>429</v>
      </c>
      <c r="D215" s="10">
        <v>7298</v>
      </c>
      <c r="E215" s="19">
        <v>39346</v>
      </c>
      <c r="F215" s="64" t="s">
        <v>387</v>
      </c>
      <c r="G215" s="10"/>
      <c r="H215" s="75">
        <v>39350</v>
      </c>
      <c r="I215" s="10"/>
      <c r="J215" s="10"/>
      <c r="K215" s="3"/>
    </row>
    <row r="216" spans="1:11" x14ac:dyDescent="0.25">
      <c r="A216" s="10">
        <v>358</v>
      </c>
      <c r="B216" s="4" t="s">
        <v>551</v>
      </c>
      <c r="C216" s="24" t="s">
        <v>554</v>
      </c>
      <c r="D216" s="10">
        <v>7298</v>
      </c>
      <c r="E216" s="19">
        <v>39346</v>
      </c>
      <c r="F216" s="64" t="s">
        <v>553</v>
      </c>
      <c r="G216" s="10"/>
      <c r="H216" s="75">
        <v>39350</v>
      </c>
      <c r="I216" s="10"/>
      <c r="J216" s="10"/>
      <c r="K216" s="3"/>
    </row>
    <row r="217" spans="1:11" x14ac:dyDescent="0.25">
      <c r="A217" s="10">
        <v>359</v>
      </c>
      <c r="B217" s="4" t="s">
        <v>356</v>
      </c>
      <c r="C217" s="24" t="s">
        <v>430</v>
      </c>
      <c r="D217" s="10">
        <v>7386</v>
      </c>
      <c r="E217" s="15">
        <v>39360</v>
      </c>
      <c r="F217" s="64" t="s">
        <v>352</v>
      </c>
      <c r="G217" s="10"/>
      <c r="H217" s="75">
        <v>39455</v>
      </c>
      <c r="I217" s="10"/>
      <c r="J217" s="10"/>
      <c r="K217" s="3"/>
    </row>
    <row r="218" spans="1:11" x14ac:dyDescent="0.25">
      <c r="A218" s="10">
        <v>360</v>
      </c>
      <c r="B218" s="4" t="s">
        <v>356</v>
      </c>
      <c r="C218" s="24" t="s">
        <v>431</v>
      </c>
      <c r="D218" s="10">
        <v>7528</v>
      </c>
      <c r="E218" s="15">
        <v>39360</v>
      </c>
      <c r="F218" s="64" t="s">
        <v>352</v>
      </c>
      <c r="G218" s="10"/>
      <c r="H218" s="75">
        <v>39792</v>
      </c>
      <c r="I218" s="10"/>
      <c r="J218" s="10"/>
      <c r="K218" s="3"/>
    </row>
    <row r="219" spans="1:11" x14ac:dyDescent="0.25">
      <c r="A219" s="10">
        <v>361</v>
      </c>
      <c r="B219" s="4" t="s">
        <v>356</v>
      </c>
      <c r="C219" s="24" t="s">
        <v>432</v>
      </c>
      <c r="D219" s="10">
        <v>7386</v>
      </c>
      <c r="E219" s="15">
        <v>39360</v>
      </c>
      <c r="F219" s="64" t="s">
        <v>352</v>
      </c>
      <c r="G219" s="10"/>
      <c r="H219" s="75">
        <v>39455</v>
      </c>
      <c r="I219" s="10"/>
      <c r="J219" s="10"/>
      <c r="K219" s="3"/>
    </row>
    <row r="220" spans="1:11" x14ac:dyDescent="0.25">
      <c r="A220" s="10">
        <v>362</v>
      </c>
      <c r="B220" s="4" t="s">
        <v>356</v>
      </c>
      <c r="C220" s="24" t="s">
        <v>433</v>
      </c>
      <c r="D220" s="10">
        <v>7368</v>
      </c>
      <c r="E220" s="15">
        <v>39360</v>
      </c>
      <c r="F220" s="64" t="s">
        <v>352</v>
      </c>
      <c r="G220" s="10"/>
      <c r="H220" s="16" t="s">
        <v>576</v>
      </c>
      <c r="I220" s="10"/>
      <c r="J220" s="10"/>
      <c r="K220" s="3"/>
    </row>
    <row r="221" spans="1:11" x14ac:dyDescent="0.25">
      <c r="A221" s="10">
        <v>363</v>
      </c>
      <c r="B221" s="4" t="s">
        <v>356</v>
      </c>
      <c r="C221" s="23" t="s">
        <v>436</v>
      </c>
      <c r="D221" s="10">
        <v>7377</v>
      </c>
      <c r="E221" s="15">
        <v>39360</v>
      </c>
      <c r="F221" s="64" t="s">
        <v>352</v>
      </c>
      <c r="G221" s="10"/>
      <c r="H221" s="75">
        <v>39427</v>
      </c>
      <c r="I221" s="10"/>
      <c r="J221" s="10"/>
      <c r="K221" s="3"/>
    </row>
    <row r="222" spans="1:11" x14ac:dyDescent="0.25">
      <c r="A222" s="10">
        <v>364</v>
      </c>
      <c r="B222" s="4" t="s">
        <v>356</v>
      </c>
      <c r="C222" s="24" t="s">
        <v>437</v>
      </c>
      <c r="D222" s="10">
        <v>7377</v>
      </c>
      <c r="E222" s="20">
        <v>39360</v>
      </c>
      <c r="F222" s="85" t="s">
        <v>352</v>
      </c>
      <c r="G222" s="10"/>
      <c r="H222" s="75">
        <v>39427</v>
      </c>
      <c r="I222" s="10"/>
      <c r="J222" s="10"/>
      <c r="K222" s="3"/>
    </row>
    <row r="223" spans="1:11" x14ac:dyDescent="0.25">
      <c r="A223" s="10">
        <v>365</v>
      </c>
      <c r="B223" s="4" t="s">
        <v>356</v>
      </c>
      <c r="C223" s="24" t="s">
        <v>438</v>
      </c>
      <c r="D223" s="10">
        <v>7366</v>
      </c>
      <c r="E223" s="20">
        <v>39379</v>
      </c>
      <c r="F223" s="85" t="s">
        <v>352</v>
      </c>
      <c r="G223" s="10"/>
      <c r="H223" s="75">
        <v>39379</v>
      </c>
      <c r="I223" s="10"/>
      <c r="J223" s="10"/>
      <c r="K223" s="3"/>
    </row>
    <row r="224" spans="1:11" x14ac:dyDescent="0.25">
      <c r="A224" s="10">
        <v>366</v>
      </c>
      <c r="B224" s="4" t="s">
        <v>356</v>
      </c>
      <c r="C224" s="27" t="s">
        <v>439</v>
      </c>
      <c r="D224" s="10">
        <v>7335</v>
      </c>
      <c r="E224" s="15">
        <v>39398</v>
      </c>
      <c r="F224" s="64" t="s">
        <v>352</v>
      </c>
      <c r="G224" s="10"/>
      <c r="H224" s="75">
        <v>39429</v>
      </c>
      <c r="I224" s="10"/>
      <c r="J224" s="10"/>
      <c r="K224" s="3"/>
    </row>
    <row r="225" spans="1:11" x14ac:dyDescent="0.25">
      <c r="A225" s="10">
        <v>367</v>
      </c>
      <c r="B225" s="4" t="s">
        <v>356</v>
      </c>
      <c r="C225" s="27" t="s">
        <v>440</v>
      </c>
      <c r="D225" s="10">
        <v>7335</v>
      </c>
      <c r="E225" s="15">
        <v>39398</v>
      </c>
      <c r="F225" s="64" t="s">
        <v>352</v>
      </c>
      <c r="G225" s="10"/>
      <c r="H225" s="75">
        <v>39429</v>
      </c>
      <c r="I225" s="10"/>
      <c r="J225" s="10"/>
      <c r="K225" s="3"/>
    </row>
    <row r="226" spans="1:11" x14ac:dyDescent="0.25">
      <c r="A226" s="10">
        <v>368</v>
      </c>
      <c r="B226" s="4" t="s">
        <v>356</v>
      </c>
      <c r="C226" s="24" t="s">
        <v>434</v>
      </c>
      <c r="D226" s="10">
        <v>7530</v>
      </c>
      <c r="E226" s="19">
        <v>39353</v>
      </c>
      <c r="F226" s="64" t="s">
        <v>352</v>
      </c>
      <c r="G226" s="10"/>
      <c r="H226" s="75">
        <v>39414</v>
      </c>
      <c r="I226" s="10"/>
      <c r="J226" s="10"/>
      <c r="K226" s="3"/>
    </row>
    <row r="227" spans="1:11" x14ac:dyDescent="0.25">
      <c r="A227" s="10">
        <v>369</v>
      </c>
      <c r="B227" s="4" t="s">
        <v>356</v>
      </c>
      <c r="C227" s="24" t="s">
        <v>435</v>
      </c>
      <c r="D227" s="10">
        <v>7530</v>
      </c>
      <c r="E227" s="19">
        <v>39353</v>
      </c>
      <c r="F227" s="64" t="s">
        <v>352</v>
      </c>
      <c r="G227" s="10"/>
      <c r="H227" s="75">
        <v>39413</v>
      </c>
      <c r="I227" s="10"/>
      <c r="J227" s="10"/>
      <c r="K227" s="3"/>
    </row>
    <row r="228" spans="1:11" x14ac:dyDescent="0.25">
      <c r="A228" s="11">
        <v>370</v>
      </c>
      <c r="B228" s="5" t="s">
        <v>356</v>
      </c>
      <c r="C228" s="25" t="s">
        <v>441</v>
      </c>
      <c r="D228" s="11">
        <v>7335</v>
      </c>
      <c r="E228" s="20">
        <v>39398</v>
      </c>
      <c r="F228" s="85" t="s">
        <v>352</v>
      </c>
      <c r="G228" s="10"/>
      <c r="H228" s="77">
        <v>39429</v>
      </c>
      <c r="I228" s="10"/>
      <c r="J228" s="10"/>
      <c r="K228" s="3"/>
    </row>
    <row r="229" spans="1:11" x14ac:dyDescent="0.25">
      <c r="A229" s="12">
        <v>371</v>
      </c>
      <c r="B229" s="4" t="s">
        <v>356</v>
      </c>
      <c r="C229" s="26" t="s">
        <v>442</v>
      </c>
      <c r="D229" s="10">
        <v>7225</v>
      </c>
      <c r="E229" s="15">
        <v>39398</v>
      </c>
      <c r="F229" s="62" t="s">
        <v>348</v>
      </c>
      <c r="G229" s="10"/>
      <c r="H229" s="75">
        <v>39293</v>
      </c>
      <c r="I229" s="10"/>
      <c r="J229" s="10"/>
      <c r="K229" s="3"/>
    </row>
    <row r="230" spans="1:11" x14ac:dyDescent="0.25">
      <c r="A230" s="12">
        <v>372</v>
      </c>
      <c r="B230" s="4" t="s">
        <v>356</v>
      </c>
      <c r="C230" s="26" t="s">
        <v>443</v>
      </c>
      <c r="D230" s="10">
        <v>7401</v>
      </c>
      <c r="E230" s="15">
        <v>39420</v>
      </c>
      <c r="F230" s="62" t="s">
        <v>348</v>
      </c>
      <c r="G230" s="10"/>
      <c r="H230" s="75">
        <v>39434</v>
      </c>
      <c r="I230" s="10"/>
      <c r="J230" s="10"/>
      <c r="K230" s="3"/>
    </row>
    <row r="231" spans="1:11" x14ac:dyDescent="0.25">
      <c r="A231" s="12">
        <v>373</v>
      </c>
      <c r="B231" s="4" t="s">
        <v>356</v>
      </c>
      <c r="C231" s="26" t="s">
        <v>444</v>
      </c>
      <c r="D231" s="10">
        <v>7401</v>
      </c>
      <c r="E231" s="15">
        <v>39420</v>
      </c>
      <c r="F231" s="62" t="s">
        <v>348</v>
      </c>
      <c r="G231" s="10"/>
      <c r="H231" s="75">
        <v>39434</v>
      </c>
      <c r="I231" s="10"/>
      <c r="J231" s="10"/>
      <c r="K231" s="3"/>
    </row>
    <row r="232" spans="1:11" x14ac:dyDescent="0.25">
      <c r="A232" s="12">
        <v>374</v>
      </c>
      <c r="B232" s="4" t="s">
        <v>356</v>
      </c>
      <c r="C232" s="26" t="s">
        <v>445</v>
      </c>
      <c r="D232" s="10" t="s">
        <v>557</v>
      </c>
      <c r="E232" s="15">
        <v>39420</v>
      </c>
      <c r="F232" s="62" t="s">
        <v>352</v>
      </c>
      <c r="G232" s="10"/>
      <c r="H232" s="75">
        <v>39424</v>
      </c>
      <c r="I232" s="10"/>
      <c r="J232" s="10"/>
      <c r="K232" s="3"/>
    </row>
    <row r="233" spans="1:11" x14ac:dyDescent="0.25">
      <c r="A233" s="12">
        <v>375</v>
      </c>
      <c r="B233" s="4" t="s">
        <v>356</v>
      </c>
      <c r="C233" s="26" t="s">
        <v>446</v>
      </c>
      <c r="D233" s="10">
        <v>7336</v>
      </c>
      <c r="E233" s="15">
        <v>39420</v>
      </c>
      <c r="F233" s="62" t="s">
        <v>352</v>
      </c>
      <c r="G233" s="10"/>
      <c r="H233" s="75">
        <v>39379</v>
      </c>
      <c r="I233" s="10"/>
      <c r="J233" s="10"/>
      <c r="K233" s="3"/>
    </row>
    <row r="234" spans="1:11" x14ac:dyDescent="0.25">
      <c r="A234" s="12">
        <v>376</v>
      </c>
      <c r="B234" s="4" t="s">
        <v>356</v>
      </c>
      <c r="C234" s="26" t="s">
        <v>447</v>
      </c>
      <c r="D234" s="10">
        <v>7372</v>
      </c>
      <c r="E234" s="15">
        <v>39420</v>
      </c>
      <c r="F234" s="62" t="s">
        <v>384</v>
      </c>
      <c r="G234" s="10"/>
      <c r="H234" s="75">
        <v>39422</v>
      </c>
      <c r="I234" s="10"/>
      <c r="J234" s="10"/>
      <c r="K234" s="3"/>
    </row>
    <row r="235" spans="1:11" x14ac:dyDescent="0.25">
      <c r="A235" s="12">
        <v>377</v>
      </c>
      <c r="B235" s="7" t="s">
        <v>551</v>
      </c>
      <c r="C235" s="26" t="s">
        <v>448</v>
      </c>
      <c r="D235" s="10">
        <v>7397</v>
      </c>
      <c r="E235" s="15">
        <v>39465</v>
      </c>
      <c r="F235" s="62" t="s">
        <v>422</v>
      </c>
      <c r="G235" s="10"/>
      <c r="H235" s="75">
        <v>39492</v>
      </c>
      <c r="I235" s="10"/>
      <c r="J235" s="10"/>
      <c r="K235" s="3"/>
    </row>
    <row r="236" spans="1:11" x14ac:dyDescent="0.25">
      <c r="A236" s="10"/>
      <c r="B236" s="7" t="s">
        <v>551</v>
      </c>
      <c r="C236" s="26" t="s">
        <v>449</v>
      </c>
      <c r="D236" s="10">
        <v>7397</v>
      </c>
      <c r="E236" s="10"/>
      <c r="F236" s="62" t="s">
        <v>423</v>
      </c>
      <c r="G236" s="10"/>
      <c r="H236" s="75">
        <v>39492</v>
      </c>
      <c r="I236" s="10"/>
      <c r="J236" s="10"/>
      <c r="K236" s="3"/>
    </row>
    <row r="237" spans="1:11" x14ac:dyDescent="0.25">
      <c r="A237" s="10">
        <v>378</v>
      </c>
      <c r="B237" s="7" t="s">
        <v>356</v>
      </c>
      <c r="C237" s="26" t="s">
        <v>450</v>
      </c>
      <c r="D237" s="10">
        <v>7397</v>
      </c>
      <c r="E237" s="15">
        <v>39465</v>
      </c>
      <c r="F237" s="64" t="s">
        <v>451</v>
      </c>
      <c r="G237" s="10"/>
      <c r="H237" s="75">
        <v>39492</v>
      </c>
      <c r="I237" s="10"/>
      <c r="J237" s="10"/>
      <c r="K237" s="3"/>
    </row>
    <row r="238" spans="1:11" x14ac:dyDescent="0.25">
      <c r="A238" s="10">
        <v>379</v>
      </c>
      <c r="B238" s="7" t="s">
        <v>356</v>
      </c>
      <c r="C238" s="26" t="s">
        <v>452</v>
      </c>
      <c r="D238" s="10">
        <v>7397</v>
      </c>
      <c r="E238" s="15">
        <v>39465</v>
      </c>
      <c r="F238" s="64" t="s">
        <v>451</v>
      </c>
      <c r="G238" s="10"/>
      <c r="H238" s="75">
        <v>39492</v>
      </c>
      <c r="I238" s="10"/>
      <c r="J238" s="10"/>
      <c r="K238" s="3"/>
    </row>
    <row r="239" spans="1:11" x14ac:dyDescent="0.25">
      <c r="A239" s="10">
        <v>380</v>
      </c>
      <c r="B239" s="7" t="s">
        <v>356</v>
      </c>
      <c r="C239" s="26" t="s">
        <v>453</v>
      </c>
      <c r="D239" s="10">
        <v>7397</v>
      </c>
      <c r="E239" s="15">
        <v>39465</v>
      </c>
      <c r="F239" s="64" t="s">
        <v>451</v>
      </c>
      <c r="G239" s="10"/>
      <c r="H239" s="75">
        <v>39492</v>
      </c>
      <c r="I239" s="10"/>
      <c r="J239" s="10"/>
      <c r="K239" s="3"/>
    </row>
    <row r="240" spans="1:11" x14ac:dyDescent="0.25">
      <c r="A240" s="10">
        <v>381</v>
      </c>
      <c r="B240" s="7" t="s">
        <v>356</v>
      </c>
      <c r="C240" s="26" t="s">
        <v>454</v>
      </c>
      <c r="D240" s="10" t="s">
        <v>557</v>
      </c>
      <c r="E240" s="10"/>
      <c r="F240" s="64" t="s">
        <v>560</v>
      </c>
      <c r="G240" s="10"/>
      <c r="H240" s="75">
        <v>39424</v>
      </c>
      <c r="I240" s="10"/>
      <c r="J240" s="10"/>
      <c r="K240" s="3"/>
    </row>
    <row r="241" spans="1:11" x14ac:dyDescent="0.25">
      <c r="A241" s="10">
        <v>382</v>
      </c>
      <c r="B241" s="7" t="s">
        <v>356</v>
      </c>
      <c r="C241" s="26" t="s">
        <v>455</v>
      </c>
      <c r="D241" s="10" t="s">
        <v>557</v>
      </c>
      <c r="E241" s="10"/>
      <c r="F241" s="64" t="s">
        <v>560</v>
      </c>
      <c r="G241" s="10"/>
      <c r="H241" s="75">
        <v>39424</v>
      </c>
      <c r="I241" s="10"/>
      <c r="J241" s="10"/>
      <c r="K241" s="3"/>
    </row>
    <row r="242" spans="1:11" x14ac:dyDescent="0.25">
      <c r="A242" s="10">
        <v>383</v>
      </c>
      <c r="B242" s="7" t="s">
        <v>356</v>
      </c>
      <c r="C242" s="26" t="s">
        <v>456</v>
      </c>
      <c r="D242" s="10" t="s">
        <v>557</v>
      </c>
      <c r="E242" s="10"/>
      <c r="F242" s="64" t="s">
        <v>560</v>
      </c>
      <c r="G242" s="10"/>
      <c r="H242" s="75">
        <v>39424</v>
      </c>
      <c r="I242" s="10"/>
      <c r="J242" s="10"/>
      <c r="K242" s="3"/>
    </row>
    <row r="243" spans="1:11" x14ac:dyDescent="0.25">
      <c r="A243" s="10">
        <v>384</v>
      </c>
      <c r="B243" s="7" t="s">
        <v>356</v>
      </c>
      <c r="C243" s="26" t="s">
        <v>457</v>
      </c>
      <c r="D243" s="10" t="s">
        <v>557</v>
      </c>
      <c r="E243" s="10"/>
      <c r="F243" s="64" t="s">
        <v>560</v>
      </c>
      <c r="G243" s="10"/>
      <c r="H243" s="75">
        <v>39424</v>
      </c>
      <c r="I243" s="10"/>
      <c r="J243" s="10"/>
      <c r="K243" s="3"/>
    </row>
    <row r="244" spans="1:11" x14ac:dyDescent="0.25">
      <c r="A244" s="10">
        <v>355</v>
      </c>
      <c r="B244" s="7" t="s">
        <v>356</v>
      </c>
      <c r="C244" s="26" t="s">
        <v>458</v>
      </c>
      <c r="D244" s="10" t="s">
        <v>557</v>
      </c>
      <c r="E244" s="10"/>
      <c r="F244" s="64" t="s">
        <v>560</v>
      </c>
      <c r="G244" s="10"/>
      <c r="H244" s="75">
        <v>39424</v>
      </c>
      <c r="I244" s="10"/>
      <c r="J244" s="10"/>
      <c r="K244" s="3"/>
    </row>
    <row r="245" spans="1:11" x14ac:dyDescent="0.25">
      <c r="A245" s="10">
        <v>386</v>
      </c>
      <c r="B245" s="7" t="s">
        <v>356</v>
      </c>
      <c r="C245" s="26" t="s">
        <v>459</v>
      </c>
      <c r="D245" s="10" t="s">
        <v>557</v>
      </c>
      <c r="E245" s="10"/>
      <c r="F245" s="64" t="s">
        <v>560</v>
      </c>
      <c r="G245" s="10"/>
      <c r="H245" s="75">
        <v>39424</v>
      </c>
      <c r="I245" s="10"/>
      <c r="J245" s="10"/>
      <c r="K245" s="3"/>
    </row>
    <row r="246" spans="1:11" x14ac:dyDescent="0.25">
      <c r="A246" s="10">
        <v>387</v>
      </c>
      <c r="B246" s="7" t="s">
        <v>356</v>
      </c>
      <c r="C246" s="26" t="s">
        <v>460</v>
      </c>
      <c r="D246" s="10">
        <v>7457</v>
      </c>
      <c r="E246" s="10"/>
      <c r="F246" s="64" t="s">
        <v>560</v>
      </c>
      <c r="G246" s="10"/>
      <c r="H246" s="75">
        <v>39510</v>
      </c>
      <c r="I246" s="10"/>
      <c r="J246" s="10"/>
      <c r="K246" s="3"/>
    </row>
    <row r="247" spans="1:11" x14ac:dyDescent="0.25">
      <c r="A247" s="10">
        <v>388</v>
      </c>
      <c r="B247" s="7" t="s">
        <v>356</v>
      </c>
      <c r="C247" s="26" t="s">
        <v>462</v>
      </c>
      <c r="D247" s="10">
        <v>7457</v>
      </c>
      <c r="E247" s="10"/>
      <c r="F247" s="64" t="s">
        <v>560</v>
      </c>
      <c r="G247" s="10"/>
      <c r="H247" s="75">
        <v>39510</v>
      </c>
      <c r="I247" s="10"/>
      <c r="J247" s="10"/>
      <c r="K247" s="3"/>
    </row>
    <row r="248" spans="1:11" x14ac:dyDescent="0.25">
      <c r="A248" s="10">
        <v>389</v>
      </c>
      <c r="B248" s="7" t="s">
        <v>356</v>
      </c>
      <c r="C248" s="26" t="s">
        <v>461</v>
      </c>
      <c r="D248" s="10">
        <v>7457</v>
      </c>
      <c r="E248" s="10"/>
      <c r="F248" s="64" t="s">
        <v>560</v>
      </c>
      <c r="G248" s="10"/>
      <c r="H248" s="75">
        <v>39510</v>
      </c>
      <c r="I248" s="10"/>
      <c r="J248" s="10"/>
      <c r="K248" s="3"/>
    </row>
    <row r="249" spans="1:11" x14ac:dyDescent="0.25">
      <c r="A249" s="10">
        <v>390</v>
      </c>
      <c r="B249" s="7" t="s">
        <v>356</v>
      </c>
      <c r="C249" s="26" t="s">
        <v>463</v>
      </c>
      <c r="D249" s="10">
        <v>7482</v>
      </c>
      <c r="E249" s="10"/>
      <c r="F249" s="64" t="s">
        <v>558</v>
      </c>
      <c r="G249" s="10"/>
      <c r="H249" s="75">
        <v>39566</v>
      </c>
      <c r="I249" s="10"/>
      <c r="J249" s="10"/>
      <c r="K249" s="3"/>
    </row>
    <row r="250" spans="1:11" x14ac:dyDescent="0.25">
      <c r="A250" s="10">
        <v>391</v>
      </c>
      <c r="B250" s="7" t="s">
        <v>356</v>
      </c>
      <c r="C250" s="26" t="s">
        <v>464</v>
      </c>
      <c r="D250" s="10">
        <v>7482</v>
      </c>
      <c r="E250" s="10"/>
      <c r="F250" s="64" t="s">
        <v>558</v>
      </c>
      <c r="G250" s="10"/>
      <c r="H250" s="75">
        <v>39566</v>
      </c>
      <c r="I250" s="10"/>
      <c r="J250" s="10"/>
      <c r="K250" s="3"/>
    </row>
    <row r="251" spans="1:11" x14ac:dyDescent="0.25">
      <c r="A251" s="10">
        <v>392</v>
      </c>
      <c r="B251" s="7" t="s">
        <v>356</v>
      </c>
      <c r="C251" s="26" t="s">
        <v>465</v>
      </c>
      <c r="D251" s="10">
        <v>7482</v>
      </c>
      <c r="E251" s="10"/>
      <c r="F251" s="64" t="s">
        <v>558</v>
      </c>
      <c r="G251" s="10"/>
      <c r="H251" s="75">
        <v>39566</v>
      </c>
      <c r="I251" s="10"/>
      <c r="J251" s="10"/>
      <c r="K251" s="3"/>
    </row>
    <row r="252" spans="1:11" x14ac:dyDescent="0.25">
      <c r="A252" s="10">
        <v>393</v>
      </c>
      <c r="B252" s="7" t="s">
        <v>356</v>
      </c>
      <c r="C252" s="26" t="s">
        <v>466</v>
      </c>
      <c r="D252" s="10">
        <v>7497</v>
      </c>
      <c r="E252" s="10"/>
      <c r="F252" s="64" t="s">
        <v>558</v>
      </c>
      <c r="G252" s="10"/>
      <c r="H252" s="75">
        <v>39582</v>
      </c>
      <c r="I252" s="10"/>
      <c r="J252" s="10"/>
      <c r="K252" s="3"/>
    </row>
    <row r="253" spans="1:11" x14ac:dyDescent="0.25">
      <c r="A253" s="10">
        <v>394</v>
      </c>
      <c r="B253" s="7" t="s">
        <v>356</v>
      </c>
      <c r="C253" s="26" t="s">
        <v>467</v>
      </c>
      <c r="D253" s="10">
        <v>7402</v>
      </c>
      <c r="E253" s="10"/>
      <c r="F253" s="64" t="s">
        <v>558</v>
      </c>
      <c r="G253" s="10"/>
      <c r="H253" s="75">
        <v>39646</v>
      </c>
      <c r="I253" s="10"/>
      <c r="J253" s="10"/>
      <c r="K253" s="3"/>
    </row>
    <row r="254" spans="1:11" x14ac:dyDescent="0.25">
      <c r="A254" s="10">
        <v>395</v>
      </c>
      <c r="B254" s="7" t="s">
        <v>356</v>
      </c>
      <c r="C254" s="26" t="s">
        <v>468</v>
      </c>
      <c r="D254" s="10">
        <v>7402</v>
      </c>
      <c r="E254" s="10"/>
      <c r="F254" s="64" t="s">
        <v>558</v>
      </c>
      <c r="G254" s="10"/>
      <c r="H254" s="75">
        <v>39646</v>
      </c>
      <c r="I254" s="10"/>
      <c r="J254" s="10"/>
      <c r="K254" s="3"/>
    </row>
    <row r="255" spans="1:11" x14ac:dyDescent="0.25">
      <c r="A255" s="10">
        <v>396</v>
      </c>
      <c r="B255" s="7" t="s">
        <v>356</v>
      </c>
      <c r="C255" s="26" t="s">
        <v>469</v>
      </c>
      <c r="D255" s="10">
        <v>7402</v>
      </c>
      <c r="E255" s="10"/>
      <c r="F255" s="64" t="s">
        <v>558</v>
      </c>
      <c r="G255" s="10"/>
      <c r="H255" s="75">
        <v>39646</v>
      </c>
      <c r="I255" s="10"/>
      <c r="J255" s="10"/>
      <c r="K255" s="3"/>
    </row>
    <row r="256" spans="1:11" x14ac:dyDescent="0.25">
      <c r="A256" s="10">
        <v>397</v>
      </c>
      <c r="B256" s="7" t="s">
        <v>356</v>
      </c>
      <c r="C256" s="26" t="s">
        <v>470</v>
      </c>
      <c r="D256" s="10">
        <v>7402</v>
      </c>
      <c r="E256" s="10"/>
      <c r="F256" s="64" t="s">
        <v>558</v>
      </c>
      <c r="G256" s="10"/>
      <c r="H256" s="75">
        <v>39646</v>
      </c>
      <c r="I256" s="10"/>
      <c r="J256" s="10"/>
      <c r="K256" s="3"/>
    </row>
    <row r="257" spans="1:11" x14ac:dyDescent="0.25">
      <c r="A257" s="10">
        <v>398</v>
      </c>
      <c r="B257" s="7" t="s">
        <v>356</v>
      </c>
      <c r="C257" s="26" t="s">
        <v>290</v>
      </c>
      <c r="D257" s="10">
        <v>7402</v>
      </c>
      <c r="E257" s="10"/>
      <c r="F257" s="64" t="s">
        <v>558</v>
      </c>
      <c r="G257" s="10"/>
      <c r="H257" s="75">
        <v>39646</v>
      </c>
      <c r="I257" s="10"/>
      <c r="J257" s="10"/>
      <c r="K257" s="3"/>
    </row>
    <row r="258" spans="1:11" x14ac:dyDescent="0.25">
      <c r="A258" s="10">
        <v>399</v>
      </c>
      <c r="B258" s="7" t="s">
        <v>356</v>
      </c>
      <c r="C258" s="26" t="s">
        <v>471</v>
      </c>
      <c r="D258" s="10">
        <v>7402</v>
      </c>
      <c r="E258" s="10"/>
      <c r="F258" s="64" t="s">
        <v>558</v>
      </c>
      <c r="G258" s="10"/>
      <c r="H258" s="75">
        <v>39646</v>
      </c>
      <c r="I258" s="10"/>
      <c r="J258" s="10"/>
      <c r="K258" s="3"/>
    </row>
    <row r="259" spans="1:11" x14ac:dyDescent="0.25">
      <c r="A259" s="10">
        <v>400</v>
      </c>
      <c r="B259" s="7" t="s">
        <v>356</v>
      </c>
      <c r="C259" s="26" t="s">
        <v>472</v>
      </c>
      <c r="D259" s="10">
        <v>7402</v>
      </c>
      <c r="E259" s="10"/>
      <c r="F259" s="64" t="s">
        <v>558</v>
      </c>
      <c r="G259" s="10"/>
      <c r="H259" s="75">
        <v>39646</v>
      </c>
      <c r="I259" s="10"/>
      <c r="J259" s="10"/>
      <c r="K259" s="3"/>
    </row>
    <row r="260" spans="1:11" x14ac:dyDescent="0.25">
      <c r="A260" s="10">
        <v>401</v>
      </c>
      <c r="B260" s="7" t="s">
        <v>356</v>
      </c>
      <c r="C260" s="26" t="s">
        <v>473</v>
      </c>
      <c r="D260" s="10">
        <v>7402</v>
      </c>
      <c r="E260" s="10"/>
      <c r="F260" s="64" t="s">
        <v>558</v>
      </c>
      <c r="G260" s="10"/>
      <c r="H260" s="75">
        <v>39646</v>
      </c>
      <c r="I260" s="10"/>
      <c r="J260" s="10"/>
      <c r="K260" s="3"/>
    </row>
    <row r="261" spans="1:11" x14ac:dyDescent="0.25">
      <c r="A261" s="10">
        <v>402</v>
      </c>
      <c r="B261" s="7" t="s">
        <v>356</v>
      </c>
      <c r="C261" s="26" t="s">
        <v>474</v>
      </c>
      <c r="D261" s="10">
        <v>7402</v>
      </c>
      <c r="E261" s="10"/>
      <c r="F261" s="64" t="s">
        <v>558</v>
      </c>
      <c r="G261" s="10"/>
      <c r="H261" s="75">
        <v>39646</v>
      </c>
      <c r="I261" s="10"/>
      <c r="J261" s="10"/>
      <c r="K261" s="3"/>
    </row>
    <row r="262" spans="1:11" x14ac:dyDescent="0.25">
      <c r="A262" s="10">
        <v>403</v>
      </c>
      <c r="B262" s="7" t="s">
        <v>356</v>
      </c>
      <c r="C262" s="26" t="s">
        <v>475</v>
      </c>
      <c r="D262" s="10">
        <v>7402</v>
      </c>
      <c r="E262" s="10"/>
      <c r="F262" s="64" t="s">
        <v>558</v>
      </c>
      <c r="G262" s="10"/>
      <c r="H262" s="75">
        <v>39646</v>
      </c>
      <c r="I262" s="10"/>
      <c r="J262" s="10"/>
      <c r="K262" s="3"/>
    </row>
    <row r="263" spans="1:11" x14ac:dyDescent="0.25">
      <c r="A263" s="10">
        <v>404</v>
      </c>
      <c r="B263" s="7" t="s">
        <v>356</v>
      </c>
      <c r="C263" s="26" t="s">
        <v>476</v>
      </c>
      <c r="D263" s="10">
        <v>7402</v>
      </c>
      <c r="E263" s="10"/>
      <c r="F263" s="64" t="s">
        <v>558</v>
      </c>
      <c r="G263" s="10"/>
      <c r="H263" s="75">
        <v>39646</v>
      </c>
      <c r="I263" s="10"/>
      <c r="J263" s="10"/>
      <c r="K263" s="3"/>
    </row>
    <row r="264" spans="1:11" x14ac:dyDescent="0.25">
      <c r="A264" s="10">
        <v>405</v>
      </c>
      <c r="B264" s="7" t="s">
        <v>356</v>
      </c>
      <c r="C264" s="26" t="s">
        <v>477</v>
      </c>
      <c r="D264" s="10">
        <v>7402</v>
      </c>
      <c r="E264" s="10"/>
      <c r="F264" s="64" t="s">
        <v>558</v>
      </c>
      <c r="G264" s="10"/>
      <c r="H264" s="75">
        <v>39646</v>
      </c>
      <c r="I264" s="10"/>
      <c r="J264" s="10"/>
      <c r="K264" s="3"/>
    </row>
    <row r="265" spans="1:11" x14ac:dyDescent="0.25">
      <c r="A265" s="10">
        <v>406</v>
      </c>
      <c r="B265" s="7" t="s">
        <v>356</v>
      </c>
      <c r="C265" s="26" t="s">
        <v>478</v>
      </c>
      <c r="D265" s="10">
        <v>7402</v>
      </c>
      <c r="E265" s="10"/>
      <c r="F265" s="64" t="s">
        <v>558</v>
      </c>
      <c r="G265" s="10"/>
      <c r="H265" s="75">
        <v>39646</v>
      </c>
      <c r="I265" s="10"/>
      <c r="J265" s="10"/>
      <c r="K265" s="3"/>
    </row>
    <row r="266" spans="1:11" x14ac:dyDescent="0.25">
      <c r="A266" s="10">
        <v>407</v>
      </c>
      <c r="B266" s="7" t="s">
        <v>356</v>
      </c>
      <c r="C266" s="26" t="s">
        <v>479</v>
      </c>
      <c r="D266" s="10">
        <v>7402</v>
      </c>
      <c r="E266" s="10"/>
      <c r="F266" s="64" t="s">
        <v>558</v>
      </c>
      <c r="G266" s="10"/>
      <c r="H266" s="75">
        <v>39646</v>
      </c>
      <c r="I266" s="10"/>
      <c r="J266" s="10"/>
      <c r="K266" s="3"/>
    </row>
    <row r="267" spans="1:11" x14ac:dyDescent="0.25">
      <c r="A267" s="10">
        <v>408</v>
      </c>
      <c r="B267" s="7" t="s">
        <v>356</v>
      </c>
      <c r="C267" s="26" t="s">
        <v>480</v>
      </c>
      <c r="D267" s="10">
        <v>7453</v>
      </c>
      <c r="E267" s="10"/>
      <c r="F267" s="64" t="s">
        <v>560</v>
      </c>
      <c r="G267" s="10"/>
      <c r="H267" s="75">
        <v>39629</v>
      </c>
      <c r="I267" s="10"/>
      <c r="J267" s="10"/>
      <c r="K267" s="3"/>
    </row>
    <row r="268" spans="1:11" x14ac:dyDescent="0.25">
      <c r="A268" s="10">
        <v>409</v>
      </c>
      <c r="B268" s="7" t="s">
        <v>356</v>
      </c>
      <c r="C268" s="26" t="s">
        <v>481</v>
      </c>
      <c r="D268" s="10">
        <v>7453</v>
      </c>
      <c r="E268" s="10"/>
      <c r="F268" s="64" t="s">
        <v>560</v>
      </c>
      <c r="G268" s="10"/>
      <c r="H268" s="75">
        <v>39629</v>
      </c>
      <c r="I268" s="10"/>
      <c r="J268" s="10"/>
      <c r="K268" s="3"/>
    </row>
    <row r="269" spans="1:11" x14ac:dyDescent="0.25">
      <c r="A269" s="10">
        <v>410</v>
      </c>
      <c r="B269" s="7" t="s">
        <v>356</v>
      </c>
      <c r="C269" s="26" t="s">
        <v>483</v>
      </c>
      <c r="D269" s="10">
        <v>7547</v>
      </c>
      <c r="E269" s="10"/>
      <c r="F269" s="64" t="s">
        <v>560</v>
      </c>
      <c r="G269" s="10"/>
      <c r="H269" s="75">
        <v>39638</v>
      </c>
      <c r="I269" s="10"/>
      <c r="J269" s="10"/>
      <c r="K269" s="3"/>
    </row>
    <row r="270" spans="1:11" x14ac:dyDescent="0.25">
      <c r="A270" s="10">
        <v>411</v>
      </c>
      <c r="B270" s="7" t="s">
        <v>356</v>
      </c>
      <c r="C270" s="26" t="s">
        <v>484</v>
      </c>
      <c r="D270" s="10">
        <v>7402</v>
      </c>
      <c r="E270" s="10"/>
      <c r="F270" s="64" t="s">
        <v>558</v>
      </c>
      <c r="G270" s="10"/>
      <c r="H270" s="75">
        <v>39646</v>
      </c>
      <c r="I270" s="10"/>
      <c r="J270" s="10"/>
      <c r="K270" s="3"/>
    </row>
    <row r="271" spans="1:11" x14ac:dyDescent="0.25">
      <c r="A271" s="10">
        <v>412</v>
      </c>
      <c r="B271" s="7" t="s">
        <v>356</v>
      </c>
      <c r="C271" s="26" t="s">
        <v>485</v>
      </c>
      <c r="D271" s="10" t="s">
        <v>557</v>
      </c>
      <c r="E271" s="10"/>
      <c r="F271" s="64" t="s">
        <v>486</v>
      </c>
      <c r="G271" s="10"/>
      <c r="H271" s="75">
        <v>39772</v>
      </c>
      <c r="I271" s="10"/>
      <c r="J271" s="10"/>
      <c r="K271" s="3"/>
    </row>
    <row r="272" spans="1:11" x14ac:dyDescent="0.25">
      <c r="A272" s="10">
        <v>413</v>
      </c>
      <c r="B272" s="7" t="s">
        <v>356</v>
      </c>
      <c r="C272" s="26" t="s">
        <v>488</v>
      </c>
      <c r="D272" s="10" t="s">
        <v>557</v>
      </c>
      <c r="E272" s="10"/>
      <c r="F272" s="64" t="s">
        <v>487</v>
      </c>
      <c r="G272" s="10"/>
      <c r="H272" s="75">
        <v>39773</v>
      </c>
      <c r="I272" s="10"/>
      <c r="J272" s="10"/>
      <c r="K272" s="3"/>
    </row>
    <row r="273" spans="1:11" x14ac:dyDescent="0.25">
      <c r="A273" s="10">
        <v>414</v>
      </c>
      <c r="B273" s="7" t="s">
        <v>356</v>
      </c>
      <c r="C273" s="26" t="s">
        <v>489</v>
      </c>
      <c r="D273" s="10" t="s">
        <v>557</v>
      </c>
      <c r="E273" s="10"/>
      <c r="F273" s="64" t="s">
        <v>490</v>
      </c>
      <c r="G273" s="10"/>
      <c r="H273" s="75">
        <v>39773</v>
      </c>
      <c r="I273" s="10"/>
      <c r="J273" s="10"/>
      <c r="K273" s="3"/>
    </row>
    <row r="274" spans="1:11" x14ac:dyDescent="0.25">
      <c r="A274" s="10">
        <v>415</v>
      </c>
      <c r="B274" s="7" t="s">
        <v>356</v>
      </c>
      <c r="C274" s="26" t="s">
        <v>491</v>
      </c>
      <c r="D274" s="10" t="s">
        <v>557</v>
      </c>
      <c r="E274" s="10"/>
      <c r="F274" s="64" t="s">
        <v>562</v>
      </c>
      <c r="G274" s="10"/>
      <c r="H274" s="75">
        <v>39773</v>
      </c>
      <c r="I274" s="10"/>
      <c r="J274" s="10"/>
      <c r="K274" s="3"/>
    </row>
    <row r="275" spans="1:11" x14ac:dyDescent="0.25">
      <c r="A275" s="10">
        <v>416</v>
      </c>
      <c r="B275" s="7" t="s">
        <v>356</v>
      </c>
      <c r="C275" s="26" t="s">
        <v>492</v>
      </c>
      <c r="D275" s="10" t="s">
        <v>557</v>
      </c>
      <c r="E275" s="10"/>
      <c r="F275" s="64" t="s">
        <v>558</v>
      </c>
      <c r="G275" s="10"/>
      <c r="H275" s="75">
        <v>39773</v>
      </c>
      <c r="I275" s="10"/>
      <c r="J275" s="10"/>
      <c r="K275" s="3"/>
    </row>
    <row r="276" spans="1:11" x14ac:dyDescent="0.25">
      <c r="A276" s="10">
        <v>417</v>
      </c>
      <c r="B276" s="7" t="s">
        <v>356</v>
      </c>
      <c r="C276" s="26" t="s">
        <v>493</v>
      </c>
      <c r="D276" s="10" t="s">
        <v>557</v>
      </c>
      <c r="E276" s="10"/>
      <c r="F276" s="64" t="s">
        <v>558</v>
      </c>
      <c r="G276" s="10"/>
      <c r="H276" s="75">
        <v>39773</v>
      </c>
      <c r="I276" s="10"/>
      <c r="J276" s="10"/>
      <c r="K276" s="3"/>
    </row>
    <row r="277" spans="1:11" x14ac:dyDescent="0.25">
      <c r="A277" s="10">
        <v>418</v>
      </c>
      <c r="B277" s="7" t="s">
        <v>356</v>
      </c>
      <c r="C277" s="26" t="s">
        <v>494</v>
      </c>
      <c r="D277" s="10" t="s">
        <v>557</v>
      </c>
      <c r="E277" s="10"/>
      <c r="F277" s="64" t="s">
        <v>558</v>
      </c>
      <c r="G277" s="10"/>
      <c r="H277" s="75">
        <v>39773</v>
      </c>
      <c r="I277" s="10"/>
      <c r="J277" s="10"/>
      <c r="K277" s="3"/>
    </row>
    <row r="278" spans="1:11" x14ac:dyDescent="0.25">
      <c r="A278" s="10">
        <v>419</v>
      </c>
      <c r="B278" s="7" t="s">
        <v>356</v>
      </c>
      <c r="C278" s="26" t="s">
        <v>495</v>
      </c>
      <c r="D278" s="10">
        <v>7335</v>
      </c>
      <c r="E278" s="10"/>
      <c r="F278" s="64" t="s">
        <v>558</v>
      </c>
      <c r="G278" s="10"/>
      <c r="H278" s="75">
        <v>39943</v>
      </c>
      <c r="I278" s="10"/>
      <c r="J278" s="10"/>
      <c r="K278" s="3"/>
    </row>
    <row r="279" spans="1:11" x14ac:dyDescent="0.25">
      <c r="A279" s="10">
        <v>420</v>
      </c>
      <c r="B279" s="7" t="s">
        <v>356</v>
      </c>
      <c r="C279" s="26" t="s">
        <v>497</v>
      </c>
      <c r="D279" s="10">
        <v>7553</v>
      </c>
      <c r="E279" s="10"/>
      <c r="F279" s="64" t="s">
        <v>558</v>
      </c>
      <c r="G279" s="10"/>
      <c r="H279" s="75">
        <v>39773</v>
      </c>
      <c r="I279" s="10"/>
      <c r="J279" s="10"/>
      <c r="K279" s="3"/>
    </row>
    <row r="280" spans="1:11" x14ac:dyDescent="0.25">
      <c r="A280" s="10">
        <v>421</v>
      </c>
      <c r="B280" s="7" t="s">
        <v>356</v>
      </c>
      <c r="C280" s="26" t="s">
        <v>496</v>
      </c>
      <c r="D280" s="10">
        <v>7553</v>
      </c>
      <c r="E280" s="10"/>
      <c r="F280" s="64" t="s">
        <v>558</v>
      </c>
      <c r="G280" s="10"/>
      <c r="H280" s="75">
        <v>39773</v>
      </c>
      <c r="I280" s="10"/>
      <c r="J280" s="10"/>
      <c r="K280" s="3"/>
    </row>
    <row r="281" spans="1:11" x14ac:dyDescent="0.25">
      <c r="A281" s="10">
        <v>422</v>
      </c>
      <c r="B281" s="7" t="s">
        <v>356</v>
      </c>
      <c r="C281" s="26" t="s">
        <v>498</v>
      </c>
      <c r="D281" s="10">
        <v>7553</v>
      </c>
      <c r="E281" s="10"/>
      <c r="F281" s="64" t="s">
        <v>558</v>
      </c>
      <c r="G281" s="10"/>
      <c r="H281" s="75">
        <v>39773</v>
      </c>
      <c r="I281" s="10"/>
      <c r="J281" s="10"/>
      <c r="K281" s="3"/>
    </row>
    <row r="282" spans="1:11" x14ac:dyDescent="0.25">
      <c r="A282" s="10">
        <v>423</v>
      </c>
      <c r="B282" s="7" t="s">
        <v>356</v>
      </c>
      <c r="C282" s="26" t="s">
        <v>499</v>
      </c>
      <c r="D282" s="10">
        <v>7553</v>
      </c>
      <c r="E282" s="10"/>
      <c r="F282" s="64" t="s">
        <v>558</v>
      </c>
      <c r="G282" s="10"/>
      <c r="H282" s="75">
        <v>39773</v>
      </c>
      <c r="I282" s="10"/>
      <c r="J282" s="10"/>
      <c r="K282" s="3"/>
    </row>
    <row r="283" spans="1:11" x14ac:dyDescent="0.25">
      <c r="A283" s="10">
        <v>424</v>
      </c>
      <c r="B283" s="7" t="s">
        <v>356</v>
      </c>
      <c r="C283" s="26" t="s">
        <v>500</v>
      </c>
      <c r="D283" s="10">
        <v>7553</v>
      </c>
      <c r="E283" s="10"/>
      <c r="F283" s="64" t="s">
        <v>558</v>
      </c>
      <c r="G283" s="10"/>
      <c r="H283" s="75">
        <v>39773</v>
      </c>
      <c r="I283" s="10"/>
      <c r="J283" s="10"/>
      <c r="K283" s="3"/>
    </row>
    <row r="284" spans="1:11" x14ac:dyDescent="0.25">
      <c r="A284" s="10">
        <v>425</v>
      </c>
      <c r="B284" s="7" t="s">
        <v>356</v>
      </c>
      <c r="C284" s="26" t="s">
        <v>501</v>
      </c>
      <c r="D284" s="10">
        <v>7553</v>
      </c>
      <c r="E284" s="10"/>
      <c r="F284" s="64" t="s">
        <v>558</v>
      </c>
      <c r="G284" s="10"/>
      <c r="H284" s="75">
        <v>39773</v>
      </c>
      <c r="I284" s="10"/>
      <c r="J284" s="10"/>
      <c r="K284" s="3"/>
    </row>
    <row r="285" spans="1:11" x14ac:dyDescent="0.25">
      <c r="A285" s="10">
        <v>426</v>
      </c>
      <c r="B285" s="7" t="s">
        <v>356</v>
      </c>
      <c r="C285" s="26" t="s">
        <v>481</v>
      </c>
      <c r="D285" s="10">
        <v>7553</v>
      </c>
      <c r="E285" s="10"/>
      <c r="F285" s="64" t="s">
        <v>558</v>
      </c>
      <c r="G285" s="10"/>
      <c r="H285" s="75">
        <v>39773</v>
      </c>
      <c r="I285" s="10"/>
      <c r="J285" s="10"/>
      <c r="K285" s="3"/>
    </row>
    <row r="286" spans="1:11" x14ac:dyDescent="0.25">
      <c r="A286" s="10">
        <v>427</v>
      </c>
      <c r="B286" s="7" t="s">
        <v>356</v>
      </c>
      <c r="C286" s="26" t="s">
        <v>502</v>
      </c>
      <c r="D286" s="10">
        <v>7626</v>
      </c>
      <c r="E286" s="10"/>
      <c r="F286" s="64" t="s">
        <v>558</v>
      </c>
      <c r="G286" s="10"/>
      <c r="H286" s="75">
        <v>39864</v>
      </c>
      <c r="I286" s="10"/>
      <c r="J286" s="10"/>
      <c r="K286" s="3"/>
    </row>
    <row r="287" spans="1:11" x14ac:dyDescent="0.25">
      <c r="A287" s="10">
        <v>428</v>
      </c>
      <c r="B287" s="7" t="s">
        <v>356</v>
      </c>
      <c r="C287" s="26" t="s">
        <v>503</v>
      </c>
      <c r="D287" s="10">
        <v>7580</v>
      </c>
      <c r="E287" s="10"/>
      <c r="F287" s="64" t="s">
        <v>562</v>
      </c>
      <c r="G287" s="10"/>
      <c r="H287" s="75">
        <v>39827</v>
      </c>
      <c r="I287" s="10"/>
      <c r="J287" s="10"/>
      <c r="K287" s="3"/>
    </row>
    <row r="288" spans="1:11" x14ac:dyDescent="0.25">
      <c r="A288" s="10">
        <v>429</v>
      </c>
      <c r="B288" s="7" t="s">
        <v>356</v>
      </c>
      <c r="C288" s="26" t="s">
        <v>504</v>
      </c>
      <c r="D288" s="10">
        <v>7580</v>
      </c>
      <c r="E288" s="10"/>
      <c r="F288" s="64" t="s">
        <v>562</v>
      </c>
      <c r="G288" s="10"/>
      <c r="H288" s="75">
        <v>39827</v>
      </c>
      <c r="I288" s="10"/>
      <c r="J288" s="10"/>
      <c r="K288" s="3"/>
    </row>
    <row r="289" spans="1:11" x14ac:dyDescent="0.25">
      <c r="A289" s="10">
        <v>430</v>
      </c>
      <c r="B289" s="7" t="s">
        <v>356</v>
      </c>
      <c r="C289" s="26" t="s">
        <v>505</v>
      </c>
      <c r="D289" s="10">
        <v>7580</v>
      </c>
      <c r="E289" s="10"/>
      <c r="F289" s="64" t="s">
        <v>562</v>
      </c>
      <c r="G289" s="10"/>
      <c r="H289" s="75">
        <v>39827</v>
      </c>
      <c r="I289" s="10"/>
      <c r="J289" s="10"/>
      <c r="K289" s="3"/>
    </row>
    <row r="290" spans="1:11" x14ac:dyDescent="0.25">
      <c r="A290" s="10">
        <v>431</v>
      </c>
      <c r="B290" s="7" t="s">
        <v>356</v>
      </c>
      <c r="C290" s="26" t="s">
        <v>506</v>
      </c>
      <c r="D290" s="10">
        <v>7580</v>
      </c>
      <c r="E290" s="10"/>
      <c r="F290" s="64" t="s">
        <v>562</v>
      </c>
      <c r="G290" s="10"/>
      <c r="H290" s="75">
        <v>39827</v>
      </c>
      <c r="I290" s="10"/>
      <c r="J290" s="10"/>
      <c r="K290" s="3"/>
    </row>
    <row r="291" spans="1:11" x14ac:dyDescent="0.25">
      <c r="A291" s="10">
        <v>432</v>
      </c>
      <c r="B291" s="7" t="s">
        <v>356</v>
      </c>
      <c r="C291" s="26" t="s">
        <v>507</v>
      </c>
      <c r="D291" s="10">
        <v>7580</v>
      </c>
      <c r="E291" s="10"/>
      <c r="F291" s="64" t="s">
        <v>565</v>
      </c>
      <c r="G291" s="10"/>
      <c r="H291" s="75">
        <v>39827</v>
      </c>
      <c r="I291" s="10"/>
      <c r="J291" s="10"/>
      <c r="K291" s="3"/>
    </row>
    <row r="292" spans="1:11" x14ac:dyDescent="0.25">
      <c r="A292" s="10">
        <v>433</v>
      </c>
      <c r="B292" s="7" t="s">
        <v>356</v>
      </c>
      <c r="C292" s="26" t="s">
        <v>508</v>
      </c>
      <c r="D292" s="10">
        <v>7580</v>
      </c>
      <c r="E292" s="10"/>
      <c r="F292" s="64" t="s">
        <v>565</v>
      </c>
      <c r="G292" s="10"/>
      <c r="H292" s="75">
        <v>39827</v>
      </c>
      <c r="I292" s="10"/>
      <c r="J292" s="10"/>
      <c r="K292" s="3"/>
    </row>
    <row r="293" spans="1:11" x14ac:dyDescent="0.25">
      <c r="A293" s="10">
        <v>434</v>
      </c>
      <c r="B293" s="7" t="s">
        <v>356</v>
      </c>
      <c r="C293" s="26" t="s">
        <v>509</v>
      </c>
      <c r="D293" s="10">
        <v>7594</v>
      </c>
      <c r="E293" s="10"/>
      <c r="F293" s="64" t="s">
        <v>559</v>
      </c>
      <c r="G293" s="10"/>
      <c r="H293" s="75">
        <v>39833</v>
      </c>
      <c r="I293" s="10"/>
      <c r="J293" s="10"/>
      <c r="K293" s="3"/>
    </row>
    <row r="294" spans="1:11" x14ac:dyDescent="0.25">
      <c r="A294" s="10">
        <v>435</v>
      </c>
      <c r="B294" s="7" t="s">
        <v>356</v>
      </c>
      <c r="C294" s="26" t="s">
        <v>510</v>
      </c>
      <c r="D294" s="10">
        <v>7335</v>
      </c>
      <c r="E294" s="10"/>
      <c r="F294" s="64" t="s">
        <v>564</v>
      </c>
      <c r="G294" s="10"/>
      <c r="H294" s="75">
        <v>39943</v>
      </c>
      <c r="I294" s="10"/>
      <c r="J294" s="10"/>
      <c r="K294" s="3"/>
    </row>
    <row r="295" spans="1:11" x14ac:dyDescent="0.25">
      <c r="A295" s="10">
        <v>436</v>
      </c>
      <c r="B295" s="7" t="s">
        <v>356</v>
      </c>
      <c r="C295" s="26" t="s">
        <v>511</v>
      </c>
      <c r="D295" s="10">
        <v>7335</v>
      </c>
      <c r="E295" s="10"/>
      <c r="F295" s="64" t="s">
        <v>564</v>
      </c>
      <c r="G295" s="10"/>
      <c r="H295" s="75">
        <v>39943</v>
      </c>
      <c r="I295" s="10"/>
      <c r="J295" s="10"/>
      <c r="K295" s="3"/>
    </row>
    <row r="296" spans="1:11" x14ac:dyDescent="0.25">
      <c r="A296" s="10">
        <v>437</v>
      </c>
      <c r="B296" s="7" t="s">
        <v>356</v>
      </c>
      <c r="C296" s="26" t="s">
        <v>523</v>
      </c>
      <c r="D296" s="10">
        <v>7579</v>
      </c>
      <c r="E296" s="10"/>
      <c r="F296" s="64" t="s">
        <v>560</v>
      </c>
      <c r="G296" s="10"/>
      <c r="H296" s="75">
        <v>39903</v>
      </c>
      <c r="I296" s="10"/>
      <c r="J296" s="10"/>
      <c r="K296" s="3"/>
    </row>
    <row r="297" spans="1:11" x14ac:dyDescent="0.25">
      <c r="A297" s="10">
        <v>438</v>
      </c>
      <c r="B297" s="7" t="s">
        <v>356</v>
      </c>
      <c r="C297" s="26" t="s">
        <v>524</v>
      </c>
      <c r="D297" s="10">
        <v>7579</v>
      </c>
      <c r="E297" s="10"/>
      <c r="F297" s="64" t="s">
        <v>560</v>
      </c>
      <c r="G297" s="10"/>
      <c r="H297" s="75">
        <v>39903</v>
      </c>
      <c r="I297" s="10"/>
      <c r="J297" s="10"/>
      <c r="K297" s="3"/>
    </row>
    <row r="298" spans="1:11" x14ac:dyDescent="0.25">
      <c r="A298" s="10">
        <v>439</v>
      </c>
      <c r="B298" s="7" t="s">
        <v>356</v>
      </c>
      <c r="C298" s="26" t="s">
        <v>525</v>
      </c>
      <c r="D298" s="10">
        <v>7579</v>
      </c>
      <c r="E298" s="10"/>
      <c r="F298" s="64" t="s">
        <v>560</v>
      </c>
      <c r="G298" s="10"/>
      <c r="H298" s="75">
        <v>39903</v>
      </c>
      <c r="I298" s="10"/>
      <c r="J298" s="10"/>
      <c r="K298" s="3"/>
    </row>
    <row r="299" spans="1:11" x14ac:dyDescent="0.25">
      <c r="A299" s="10">
        <v>440</v>
      </c>
      <c r="B299" s="7" t="s">
        <v>356</v>
      </c>
      <c r="C299" s="26" t="s">
        <v>579</v>
      </c>
      <c r="D299" s="10">
        <v>7528</v>
      </c>
      <c r="E299" s="10"/>
      <c r="F299" s="64" t="s">
        <v>560</v>
      </c>
      <c r="G299" s="10"/>
      <c r="H299" s="75">
        <v>39903</v>
      </c>
      <c r="I299" s="10"/>
      <c r="J299" s="10"/>
      <c r="K299" s="3"/>
    </row>
    <row r="300" spans="1:11" x14ac:dyDescent="0.25">
      <c r="A300" s="10">
        <v>441</v>
      </c>
      <c r="B300" s="7" t="s">
        <v>356</v>
      </c>
      <c r="C300" s="26" t="s">
        <v>580</v>
      </c>
      <c r="D300" s="10">
        <v>7528</v>
      </c>
      <c r="E300" s="10"/>
      <c r="F300" s="64" t="s">
        <v>560</v>
      </c>
      <c r="G300" s="10"/>
      <c r="H300" s="75">
        <v>39903</v>
      </c>
      <c r="I300" s="10"/>
      <c r="J300" s="10"/>
      <c r="K300" s="3"/>
    </row>
    <row r="301" spans="1:11" x14ac:dyDescent="0.25">
      <c r="A301" s="10">
        <v>442</v>
      </c>
      <c r="B301" s="7" t="s">
        <v>356</v>
      </c>
      <c r="C301" s="26" t="s">
        <v>581</v>
      </c>
      <c r="D301" s="10">
        <v>7528</v>
      </c>
      <c r="E301" s="10"/>
      <c r="F301" s="64" t="s">
        <v>560</v>
      </c>
      <c r="G301" s="10"/>
      <c r="H301" s="75">
        <v>39903</v>
      </c>
      <c r="I301" s="10"/>
      <c r="J301" s="10"/>
      <c r="K301" s="3"/>
    </row>
    <row r="302" spans="1:11" x14ac:dyDescent="0.25">
      <c r="A302" s="10">
        <v>443</v>
      </c>
      <c r="B302" s="7" t="s">
        <v>356</v>
      </c>
      <c r="C302" s="24" t="s">
        <v>512</v>
      </c>
      <c r="D302" s="10">
        <v>712401</v>
      </c>
      <c r="E302" s="10"/>
      <c r="F302" s="64" t="s">
        <v>561</v>
      </c>
      <c r="G302" s="10"/>
      <c r="H302" s="75">
        <v>39544</v>
      </c>
      <c r="I302" s="10"/>
      <c r="J302" s="10"/>
      <c r="K302" s="3"/>
    </row>
    <row r="303" spans="1:11" x14ac:dyDescent="0.25">
      <c r="A303" s="10">
        <v>444</v>
      </c>
      <c r="B303" s="7" t="s">
        <v>356</v>
      </c>
      <c r="C303" s="24" t="s">
        <v>514</v>
      </c>
      <c r="D303" s="10">
        <v>7672</v>
      </c>
      <c r="E303" s="10"/>
      <c r="F303" s="64" t="s">
        <v>562</v>
      </c>
      <c r="G303" s="10"/>
      <c r="H303" s="75">
        <v>39878</v>
      </c>
      <c r="I303" s="10"/>
      <c r="J303" s="10"/>
      <c r="K303" s="3"/>
    </row>
    <row r="304" spans="1:11" x14ac:dyDescent="0.25">
      <c r="A304" s="10">
        <v>445</v>
      </c>
      <c r="B304" s="7" t="s">
        <v>356</v>
      </c>
      <c r="C304" s="24" t="s">
        <v>513</v>
      </c>
      <c r="D304" s="10">
        <v>7654</v>
      </c>
      <c r="E304" s="10"/>
      <c r="F304" s="64" t="s">
        <v>562</v>
      </c>
      <c r="G304" s="10"/>
      <c r="H304" s="75">
        <v>39881</v>
      </c>
      <c r="I304" s="10"/>
      <c r="J304" s="10"/>
      <c r="K304" s="3"/>
    </row>
    <row r="305" spans="1:11" x14ac:dyDescent="0.25">
      <c r="A305" s="10">
        <v>446</v>
      </c>
      <c r="B305" s="7" t="s">
        <v>356</v>
      </c>
      <c r="C305" s="24" t="s">
        <v>515</v>
      </c>
      <c r="D305" s="10">
        <v>7650</v>
      </c>
      <c r="E305" s="10"/>
      <c r="F305" s="64" t="s">
        <v>558</v>
      </c>
      <c r="G305" s="10"/>
      <c r="H305" s="75">
        <v>39892</v>
      </c>
      <c r="I305" s="10"/>
      <c r="J305" s="10"/>
      <c r="K305" s="3"/>
    </row>
    <row r="306" spans="1:11" x14ac:dyDescent="0.25">
      <c r="A306" s="10">
        <v>447</v>
      </c>
      <c r="B306" s="7" t="s">
        <v>356</v>
      </c>
      <c r="C306" s="24" t="s">
        <v>516</v>
      </c>
      <c r="D306" s="10">
        <v>7650</v>
      </c>
      <c r="E306" s="10"/>
      <c r="F306" s="64" t="s">
        <v>558</v>
      </c>
      <c r="G306" s="10"/>
      <c r="H306" s="75">
        <v>39892</v>
      </c>
      <c r="I306" s="10"/>
      <c r="J306" s="10"/>
      <c r="K306" s="3"/>
    </row>
    <row r="307" spans="1:11" x14ac:dyDescent="0.25">
      <c r="A307" s="10">
        <v>448</v>
      </c>
      <c r="B307" s="7" t="s">
        <v>356</v>
      </c>
      <c r="C307" s="24" t="s">
        <v>522</v>
      </c>
      <c r="D307" s="10">
        <v>7650</v>
      </c>
      <c r="E307" s="10"/>
      <c r="F307" s="64" t="s">
        <v>558</v>
      </c>
      <c r="G307" s="10"/>
      <c r="H307" s="75">
        <v>39892</v>
      </c>
      <c r="I307" s="10"/>
      <c r="J307" s="10"/>
      <c r="K307" s="3"/>
    </row>
    <row r="308" spans="1:11" x14ac:dyDescent="0.25">
      <c r="A308" s="10">
        <v>449</v>
      </c>
      <c r="B308" s="7" t="s">
        <v>551</v>
      </c>
      <c r="C308" s="24" t="s">
        <v>526</v>
      </c>
      <c r="D308" s="10" t="s">
        <v>557</v>
      </c>
      <c r="E308" s="10"/>
      <c r="F308" s="64" t="s">
        <v>564</v>
      </c>
      <c r="G308" s="10"/>
      <c r="H308" s="75">
        <v>39948</v>
      </c>
      <c r="I308" s="10"/>
      <c r="J308" s="10"/>
      <c r="K308" s="3"/>
    </row>
    <row r="309" spans="1:11" x14ac:dyDescent="0.25">
      <c r="A309" s="10">
        <v>450</v>
      </c>
      <c r="B309" s="7" t="s">
        <v>356</v>
      </c>
      <c r="C309" s="24" t="s">
        <v>527</v>
      </c>
      <c r="D309" s="10" t="s">
        <v>557</v>
      </c>
      <c r="E309" s="10"/>
      <c r="F309" s="64" t="s">
        <v>561</v>
      </c>
      <c r="G309" s="10"/>
      <c r="H309" s="75">
        <v>39948</v>
      </c>
      <c r="I309" s="10"/>
      <c r="J309" s="10"/>
      <c r="K309" s="3"/>
    </row>
    <row r="310" spans="1:11" x14ac:dyDescent="0.25">
      <c r="A310" s="10">
        <v>451</v>
      </c>
      <c r="B310" s="7" t="s">
        <v>356</v>
      </c>
      <c r="C310" s="24" t="s">
        <v>528</v>
      </c>
      <c r="D310" s="10">
        <v>7647</v>
      </c>
      <c r="E310" s="10"/>
      <c r="F310" s="64" t="s">
        <v>490</v>
      </c>
      <c r="G310" s="10"/>
      <c r="H310" s="75">
        <v>39917</v>
      </c>
      <c r="I310" s="10"/>
      <c r="J310" s="10"/>
      <c r="K310" s="3"/>
    </row>
    <row r="311" spans="1:11" x14ac:dyDescent="0.25">
      <c r="A311" s="10">
        <v>452</v>
      </c>
      <c r="B311" s="7" t="s">
        <v>356</v>
      </c>
      <c r="C311" s="24" t="s">
        <v>529</v>
      </c>
      <c r="D311" s="10">
        <v>7582</v>
      </c>
      <c r="E311" s="10"/>
      <c r="F311" s="64" t="s">
        <v>560</v>
      </c>
      <c r="G311" s="10"/>
      <c r="H311" s="75">
        <v>39967</v>
      </c>
      <c r="I311" s="10"/>
      <c r="J311" s="10"/>
      <c r="K311" s="3"/>
    </row>
    <row r="312" spans="1:11" x14ac:dyDescent="0.25">
      <c r="A312" s="10">
        <v>453</v>
      </c>
      <c r="B312" s="7" t="s">
        <v>356</v>
      </c>
      <c r="C312" s="24" t="s">
        <v>530</v>
      </c>
      <c r="D312" s="10">
        <v>7582</v>
      </c>
      <c r="E312" s="10"/>
      <c r="F312" s="64" t="s">
        <v>560</v>
      </c>
      <c r="G312" s="10"/>
      <c r="H312" s="75">
        <v>39967</v>
      </c>
      <c r="I312" s="10"/>
      <c r="J312" s="10"/>
      <c r="K312" s="3"/>
    </row>
    <row r="313" spans="1:11" x14ac:dyDescent="0.25">
      <c r="A313" s="10">
        <v>454</v>
      </c>
      <c r="B313" s="7" t="s">
        <v>356</v>
      </c>
      <c r="C313" s="24" t="s">
        <v>531</v>
      </c>
      <c r="D313" s="10">
        <v>7517</v>
      </c>
      <c r="E313" s="10"/>
      <c r="F313" s="64" t="s">
        <v>559</v>
      </c>
      <c r="G313" s="10"/>
      <c r="H313" s="75">
        <v>39966</v>
      </c>
      <c r="I313" s="10"/>
      <c r="J313" s="10"/>
      <c r="K313" s="3"/>
    </row>
    <row r="314" spans="1:11" x14ac:dyDescent="0.25">
      <c r="A314" s="10">
        <v>455</v>
      </c>
      <c r="B314" s="7" t="s">
        <v>356</v>
      </c>
      <c r="C314" s="24" t="s">
        <v>532</v>
      </c>
      <c r="D314" s="10">
        <v>7517</v>
      </c>
      <c r="E314" s="10"/>
      <c r="F314" s="64" t="s">
        <v>559</v>
      </c>
      <c r="G314" s="10"/>
      <c r="H314" s="75">
        <v>39966</v>
      </c>
      <c r="I314" s="10"/>
      <c r="J314" s="10"/>
      <c r="K314" s="3"/>
    </row>
    <row r="315" spans="1:11" x14ac:dyDescent="0.25">
      <c r="A315" s="10">
        <v>456</v>
      </c>
      <c r="B315" s="7" t="s">
        <v>356</v>
      </c>
      <c r="C315" s="24" t="s">
        <v>533</v>
      </c>
      <c r="D315" s="10">
        <v>7696</v>
      </c>
      <c r="E315" s="10"/>
      <c r="F315" s="64" t="s">
        <v>560</v>
      </c>
      <c r="G315" s="10"/>
      <c r="H315" s="75">
        <v>39965</v>
      </c>
      <c r="I315" s="10"/>
      <c r="J315" s="10"/>
      <c r="K315" s="3"/>
    </row>
    <row r="316" spans="1:11" x14ac:dyDescent="0.25">
      <c r="A316" s="10">
        <v>457</v>
      </c>
      <c r="B316" s="7" t="s">
        <v>356</v>
      </c>
      <c r="C316" s="24" t="s">
        <v>534</v>
      </c>
      <c r="D316" s="10">
        <v>7696</v>
      </c>
      <c r="E316" s="10"/>
      <c r="F316" s="64" t="s">
        <v>560</v>
      </c>
      <c r="G316" s="10"/>
      <c r="H316" s="75">
        <v>39965</v>
      </c>
      <c r="I316" s="10"/>
      <c r="J316" s="10"/>
      <c r="K316" s="3"/>
    </row>
    <row r="317" spans="1:11" s="55" customFormat="1" ht="25" x14ac:dyDescent="0.25">
      <c r="A317" s="10">
        <v>458</v>
      </c>
      <c r="B317" s="36" t="s">
        <v>551</v>
      </c>
      <c r="C317" s="61" t="s">
        <v>1426</v>
      </c>
      <c r="D317" s="10">
        <v>7479</v>
      </c>
      <c r="E317" s="10"/>
      <c r="F317" s="60" t="s">
        <v>168</v>
      </c>
      <c r="G317" s="10"/>
      <c r="H317" s="75">
        <v>39818</v>
      </c>
      <c r="I317" s="10"/>
      <c r="J317" s="10"/>
      <c r="K317" s="54"/>
    </row>
    <row r="318" spans="1:11" s="114" customFormat="1" ht="25" x14ac:dyDescent="0.25">
      <c r="A318" s="112">
        <v>459</v>
      </c>
      <c r="B318" s="36" t="s">
        <v>551</v>
      </c>
      <c r="C318" s="115" t="s">
        <v>1427</v>
      </c>
      <c r="D318" s="10">
        <v>7479</v>
      </c>
      <c r="E318" s="112"/>
      <c r="F318" s="60" t="s">
        <v>168</v>
      </c>
      <c r="G318" s="112"/>
      <c r="H318" s="75">
        <v>39818</v>
      </c>
      <c r="I318" s="112"/>
      <c r="J318" s="112"/>
      <c r="K318" s="113"/>
    </row>
    <row r="319" spans="1:11" s="55" customFormat="1" ht="25" x14ac:dyDescent="0.25">
      <c r="A319" s="10">
        <v>460</v>
      </c>
      <c r="B319" s="36" t="s">
        <v>551</v>
      </c>
      <c r="C319" s="61" t="s">
        <v>1428</v>
      </c>
      <c r="D319" s="10">
        <v>7479</v>
      </c>
      <c r="E319" s="10"/>
      <c r="F319" s="60" t="s">
        <v>168</v>
      </c>
      <c r="G319" s="10"/>
      <c r="H319" s="75">
        <v>39818</v>
      </c>
      <c r="I319" s="10"/>
      <c r="J319" s="10"/>
      <c r="K319" s="54"/>
    </row>
    <row r="320" spans="1:11" s="55" customFormat="1" ht="25" x14ac:dyDescent="0.25">
      <c r="A320" s="10">
        <v>461</v>
      </c>
      <c r="B320" s="36" t="s">
        <v>551</v>
      </c>
      <c r="C320" s="61" t="s">
        <v>1429</v>
      </c>
      <c r="D320" s="10">
        <v>7479</v>
      </c>
      <c r="E320" s="10"/>
      <c r="F320" s="60" t="s">
        <v>168</v>
      </c>
      <c r="G320" s="10"/>
      <c r="H320" s="75">
        <v>39818</v>
      </c>
      <c r="I320" s="10"/>
      <c r="J320" s="10"/>
      <c r="K320" s="54"/>
    </row>
    <row r="321" spans="1:11" s="55" customFormat="1" ht="25" x14ac:dyDescent="0.25">
      <c r="A321" s="10">
        <v>462</v>
      </c>
      <c r="B321" s="36" t="s">
        <v>551</v>
      </c>
      <c r="C321" s="61" t="s">
        <v>1430</v>
      </c>
      <c r="D321" s="10">
        <v>7479</v>
      </c>
      <c r="E321" s="10"/>
      <c r="F321" s="60" t="s">
        <v>168</v>
      </c>
      <c r="G321" s="10"/>
      <c r="H321" s="75">
        <v>39818</v>
      </c>
      <c r="I321" s="10"/>
      <c r="J321" s="10"/>
      <c r="K321" s="54"/>
    </row>
    <row r="322" spans="1:11" s="55" customFormat="1" ht="25" x14ac:dyDescent="0.25">
      <c r="A322" s="10">
        <v>463</v>
      </c>
      <c r="B322" s="36" t="s">
        <v>551</v>
      </c>
      <c r="C322" s="61" t="s">
        <v>1431</v>
      </c>
      <c r="D322" s="10">
        <v>7479</v>
      </c>
      <c r="E322" s="10"/>
      <c r="F322" s="60" t="s">
        <v>168</v>
      </c>
      <c r="G322" s="10"/>
      <c r="H322" s="75">
        <v>39818</v>
      </c>
      <c r="I322" s="10"/>
      <c r="J322" s="10"/>
      <c r="K322" s="54"/>
    </row>
    <row r="323" spans="1:11" x14ac:dyDescent="0.25">
      <c r="A323" s="10">
        <v>464</v>
      </c>
      <c r="B323" s="7" t="s">
        <v>356</v>
      </c>
      <c r="C323" s="24" t="s">
        <v>535</v>
      </c>
      <c r="D323" s="10">
        <v>7402</v>
      </c>
      <c r="E323" s="10"/>
      <c r="F323" s="64" t="s">
        <v>558</v>
      </c>
      <c r="G323" s="10"/>
      <c r="H323" s="75">
        <v>40021</v>
      </c>
      <c r="I323" s="10"/>
      <c r="J323" s="10"/>
      <c r="K323" s="3"/>
    </row>
    <row r="324" spans="1:11" x14ac:dyDescent="0.25">
      <c r="A324" s="10">
        <v>465</v>
      </c>
      <c r="B324" s="7" t="s">
        <v>356</v>
      </c>
      <c r="C324" s="24" t="s">
        <v>536</v>
      </c>
      <c r="D324" s="10">
        <v>7402</v>
      </c>
      <c r="E324" s="10"/>
      <c r="F324" s="64" t="s">
        <v>558</v>
      </c>
      <c r="G324" s="10"/>
      <c r="H324" s="75">
        <v>40021</v>
      </c>
      <c r="I324" s="10"/>
      <c r="J324" s="10"/>
      <c r="K324" s="3"/>
    </row>
    <row r="325" spans="1:11" x14ac:dyDescent="0.25">
      <c r="A325" s="10">
        <v>466</v>
      </c>
      <c r="B325" s="7" t="s">
        <v>356</v>
      </c>
      <c r="C325" s="24" t="s">
        <v>538</v>
      </c>
      <c r="D325" s="10">
        <v>7402</v>
      </c>
      <c r="E325" s="10"/>
      <c r="F325" s="64" t="s">
        <v>558</v>
      </c>
      <c r="G325" s="10"/>
      <c r="H325" s="75">
        <v>40021</v>
      </c>
      <c r="I325" s="10"/>
      <c r="J325" s="10"/>
      <c r="K325" s="3"/>
    </row>
    <row r="326" spans="1:11" x14ac:dyDescent="0.25">
      <c r="A326" s="10">
        <v>467</v>
      </c>
      <c r="B326" s="7" t="s">
        <v>356</v>
      </c>
      <c r="C326" s="24" t="s">
        <v>537</v>
      </c>
      <c r="D326" s="10">
        <v>7402</v>
      </c>
      <c r="E326" s="10"/>
      <c r="F326" s="64" t="s">
        <v>558</v>
      </c>
      <c r="G326" s="10"/>
      <c r="H326" s="75">
        <v>40021</v>
      </c>
      <c r="I326" s="10"/>
      <c r="J326" s="10"/>
      <c r="K326" s="3"/>
    </row>
    <row r="327" spans="1:11" x14ac:dyDescent="0.25">
      <c r="A327" s="10">
        <v>468</v>
      </c>
      <c r="B327" s="7" t="s">
        <v>356</v>
      </c>
      <c r="C327" s="24" t="s">
        <v>539</v>
      </c>
      <c r="D327" s="10">
        <v>7402</v>
      </c>
      <c r="E327" s="10"/>
      <c r="F327" s="64" t="s">
        <v>558</v>
      </c>
      <c r="G327" s="10"/>
      <c r="H327" s="75">
        <v>40021</v>
      </c>
      <c r="I327" s="10"/>
      <c r="J327" s="10"/>
      <c r="K327" s="3"/>
    </row>
    <row r="328" spans="1:11" x14ac:dyDescent="0.25">
      <c r="A328" s="10">
        <v>469</v>
      </c>
      <c r="B328" s="7" t="s">
        <v>356</v>
      </c>
      <c r="C328" s="24" t="s">
        <v>540</v>
      </c>
      <c r="D328" s="10">
        <v>7402</v>
      </c>
      <c r="E328" s="10"/>
      <c r="F328" s="64" t="s">
        <v>558</v>
      </c>
      <c r="G328" s="10"/>
      <c r="H328" s="75">
        <v>40021</v>
      </c>
      <c r="I328" s="10"/>
      <c r="J328" s="10"/>
      <c r="K328" s="3"/>
    </row>
    <row r="329" spans="1:11" x14ac:dyDescent="0.25">
      <c r="A329" s="10">
        <v>470</v>
      </c>
      <c r="B329" s="7" t="s">
        <v>356</v>
      </c>
      <c r="C329" s="24" t="s">
        <v>541</v>
      </c>
      <c r="D329" s="10">
        <v>7402</v>
      </c>
      <c r="E329" s="10"/>
      <c r="F329" s="64" t="s">
        <v>558</v>
      </c>
      <c r="G329" s="10"/>
      <c r="H329" s="75">
        <v>40021</v>
      </c>
      <c r="I329" s="10"/>
      <c r="J329" s="10"/>
      <c r="K329" s="3"/>
    </row>
    <row r="330" spans="1:11" x14ac:dyDescent="0.25">
      <c r="A330" s="10">
        <v>472</v>
      </c>
      <c r="B330" s="7" t="s">
        <v>356</v>
      </c>
      <c r="C330" s="24" t="s">
        <v>542</v>
      </c>
      <c r="D330" s="10">
        <v>7402</v>
      </c>
      <c r="E330" s="10"/>
      <c r="F330" s="64" t="s">
        <v>558</v>
      </c>
      <c r="G330" s="10"/>
      <c r="H330" s="75">
        <v>40021</v>
      </c>
      <c r="I330" s="10"/>
      <c r="J330" s="10"/>
      <c r="K330" s="3"/>
    </row>
    <row r="331" spans="1:11" x14ac:dyDescent="0.25">
      <c r="A331" s="10">
        <v>473</v>
      </c>
      <c r="B331" s="7" t="s">
        <v>356</v>
      </c>
      <c r="C331" s="24" t="s">
        <v>543</v>
      </c>
      <c r="D331" s="10">
        <v>7402</v>
      </c>
      <c r="E331" s="10"/>
      <c r="F331" s="64" t="s">
        <v>558</v>
      </c>
      <c r="G331" s="10"/>
      <c r="H331" s="75">
        <v>40021</v>
      </c>
      <c r="I331" s="10"/>
      <c r="J331" s="10"/>
      <c r="K331" s="3"/>
    </row>
    <row r="332" spans="1:11" x14ac:dyDescent="0.25">
      <c r="A332" s="10">
        <v>474</v>
      </c>
      <c r="B332" s="7" t="s">
        <v>356</v>
      </c>
      <c r="C332" s="24" t="s">
        <v>544</v>
      </c>
      <c r="D332" s="10">
        <v>7402</v>
      </c>
      <c r="E332" s="10"/>
      <c r="F332" s="64" t="s">
        <v>558</v>
      </c>
      <c r="G332" s="10"/>
      <c r="H332" s="75">
        <v>40021</v>
      </c>
      <c r="I332" s="10"/>
      <c r="J332" s="10"/>
      <c r="K332" s="3"/>
    </row>
    <row r="333" spans="1:11" x14ac:dyDescent="0.25">
      <c r="A333" s="10">
        <v>475</v>
      </c>
      <c r="B333" s="7" t="s">
        <v>356</v>
      </c>
      <c r="C333" s="24" t="s">
        <v>545</v>
      </c>
      <c r="D333" s="10">
        <v>7402</v>
      </c>
      <c r="E333" s="10"/>
      <c r="F333" s="64" t="s">
        <v>558</v>
      </c>
      <c r="G333" s="10"/>
      <c r="H333" s="75">
        <v>40021</v>
      </c>
      <c r="I333" s="10"/>
      <c r="J333" s="10"/>
      <c r="K333" s="3"/>
    </row>
    <row r="334" spans="1:11" x14ac:dyDescent="0.25">
      <c r="A334" s="10">
        <v>476</v>
      </c>
      <c r="B334" s="7" t="s">
        <v>356</v>
      </c>
      <c r="C334" s="24" t="s">
        <v>546</v>
      </c>
      <c r="D334" s="10">
        <v>7402</v>
      </c>
      <c r="E334" s="10"/>
      <c r="F334" s="64" t="s">
        <v>558</v>
      </c>
      <c r="G334" s="10"/>
      <c r="H334" s="75">
        <v>40021</v>
      </c>
      <c r="I334" s="10"/>
      <c r="J334" s="10"/>
      <c r="K334" s="3"/>
    </row>
    <row r="335" spans="1:11" x14ac:dyDescent="0.25">
      <c r="A335" s="10" t="s">
        <v>547</v>
      </c>
      <c r="B335" s="7" t="s">
        <v>356</v>
      </c>
      <c r="C335" s="24" t="s">
        <v>548</v>
      </c>
      <c r="D335" s="10">
        <v>7402</v>
      </c>
      <c r="E335" s="10"/>
      <c r="F335" s="64" t="s">
        <v>558</v>
      </c>
      <c r="G335" s="10"/>
      <c r="H335" s="75">
        <v>40021</v>
      </c>
      <c r="I335" s="10"/>
      <c r="J335" s="10"/>
      <c r="K335" s="3"/>
    </row>
    <row r="336" spans="1:11" x14ac:dyDescent="0.25">
      <c r="A336" s="10">
        <v>478</v>
      </c>
      <c r="B336" s="7" t="s">
        <v>356</v>
      </c>
      <c r="C336" s="24" t="s">
        <v>549</v>
      </c>
      <c r="D336" s="10">
        <v>7402</v>
      </c>
      <c r="E336" s="10"/>
      <c r="F336" s="64" t="s">
        <v>558</v>
      </c>
      <c r="G336" s="10"/>
      <c r="H336" s="75">
        <v>40021</v>
      </c>
      <c r="I336" s="10"/>
      <c r="J336" s="10"/>
      <c r="K336" s="3"/>
    </row>
    <row r="337" spans="1:11" x14ac:dyDescent="0.25">
      <c r="A337" s="10">
        <v>479</v>
      </c>
      <c r="B337" s="7" t="s">
        <v>356</v>
      </c>
      <c r="C337" s="24" t="s">
        <v>550</v>
      </c>
      <c r="D337" s="10">
        <v>7722</v>
      </c>
      <c r="E337" s="10"/>
      <c r="F337" s="64" t="s">
        <v>559</v>
      </c>
      <c r="G337" s="10"/>
      <c r="H337" s="75">
        <v>40012</v>
      </c>
      <c r="I337" s="10"/>
      <c r="J337" s="10"/>
      <c r="K337" s="3"/>
    </row>
    <row r="338" spans="1:11" x14ac:dyDescent="0.25">
      <c r="A338" s="10">
        <v>480</v>
      </c>
      <c r="B338" s="7" t="s">
        <v>356</v>
      </c>
      <c r="C338" s="24" t="s">
        <v>555</v>
      </c>
      <c r="D338" s="10">
        <v>7721</v>
      </c>
      <c r="E338" s="10"/>
      <c r="F338" s="64" t="s">
        <v>558</v>
      </c>
      <c r="G338" s="10"/>
      <c r="H338" s="75">
        <v>40023</v>
      </c>
      <c r="I338" s="10"/>
      <c r="J338" s="10"/>
      <c r="K338" s="3"/>
    </row>
    <row r="339" spans="1:11" x14ac:dyDescent="0.25">
      <c r="A339" s="10">
        <v>481</v>
      </c>
      <c r="B339" s="7" t="s">
        <v>356</v>
      </c>
      <c r="C339" s="24" t="s">
        <v>556</v>
      </c>
      <c r="D339" s="10">
        <v>7721</v>
      </c>
      <c r="E339" s="10"/>
      <c r="F339" s="64" t="s">
        <v>558</v>
      </c>
      <c r="G339" s="10"/>
      <c r="H339" s="75">
        <v>40023</v>
      </c>
      <c r="I339" s="10"/>
      <c r="J339" s="10"/>
      <c r="K339" s="3"/>
    </row>
    <row r="340" spans="1:11" x14ac:dyDescent="0.25">
      <c r="A340" s="10">
        <v>482</v>
      </c>
      <c r="B340" s="7" t="s">
        <v>356</v>
      </c>
      <c r="C340" s="24" t="s">
        <v>578</v>
      </c>
      <c r="D340" s="10">
        <v>7670</v>
      </c>
      <c r="E340" s="10"/>
      <c r="F340" s="64" t="s">
        <v>560</v>
      </c>
      <c r="G340" s="10"/>
      <c r="H340" s="75">
        <v>40028</v>
      </c>
      <c r="I340" s="10"/>
      <c r="J340" s="10"/>
      <c r="K340" s="3"/>
    </row>
    <row r="341" spans="1:11" x14ac:dyDescent="0.25">
      <c r="A341" s="10">
        <v>483</v>
      </c>
      <c r="B341" s="7" t="s">
        <v>356</v>
      </c>
      <c r="C341" s="24" t="s">
        <v>577</v>
      </c>
      <c r="D341" s="10">
        <v>7670</v>
      </c>
      <c r="E341" s="10"/>
      <c r="F341" s="64" t="s">
        <v>560</v>
      </c>
      <c r="G341" s="10"/>
      <c r="H341" s="75">
        <v>40028</v>
      </c>
      <c r="I341" s="10"/>
      <c r="J341" s="10"/>
      <c r="K341" s="3"/>
    </row>
    <row r="342" spans="1:11" x14ac:dyDescent="0.25">
      <c r="A342" s="10">
        <v>484</v>
      </c>
      <c r="B342" s="4" t="s">
        <v>356</v>
      </c>
      <c r="C342" s="24" t="s">
        <v>583</v>
      </c>
      <c r="D342" s="10">
        <v>7709</v>
      </c>
      <c r="E342" s="10"/>
      <c r="F342" s="64" t="s">
        <v>582</v>
      </c>
      <c r="G342" s="10"/>
      <c r="H342" s="75">
        <v>40035</v>
      </c>
      <c r="I342" s="10"/>
      <c r="J342" s="10"/>
      <c r="K342" s="3"/>
    </row>
    <row r="343" spans="1:11" x14ac:dyDescent="0.25">
      <c r="A343" s="10">
        <v>485</v>
      </c>
      <c r="B343" s="4" t="s">
        <v>356</v>
      </c>
      <c r="C343" s="24" t="s">
        <v>584</v>
      </c>
      <c r="D343" s="10">
        <v>7709</v>
      </c>
      <c r="E343" s="10"/>
      <c r="F343" s="64" t="s">
        <v>562</v>
      </c>
      <c r="G343" s="10"/>
      <c r="H343" s="75">
        <v>40035</v>
      </c>
      <c r="I343" s="10"/>
      <c r="J343" s="10"/>
      <c r="K343" s="3"/>
    </row>
    <row r="344" spans="1:11" x14ac:dyDescent="0.25">
      <c r="A344" s="10">
        <v>486</v>
      </c>
      <c r="B344" s="4" t="s">
        <v>356</v>
      </c>
      <c r="C344" s="24" t="s">
        <v>586</v>
      </c>
      <c r="D344" s="10">
        <v>7725</v>
      </c>
      <c r="E344" s="10"/>
      <c r="F344" s="64" t="s">
        <v>558</v>
      </c>
      <c r="G344" s="10"/>
      <c r="H344" s="75">
        <v>40057</v>
      </c>
      <c r="I344" s="10"/>
      <c r="J344" s="10"/>
      <c r="K344" s="3"/>
    </row>
    <row r="345" spans="1:11" x14ac:dyDescent="0.25">
      <c r="A345" s="10">
        <v>487</v>
      </c>
      <c r="B345" s="4" t="s">
        <v>356</v>
      </c>
      <c r="C345" s="24" t="s">
        <v>589</v>
      </c>
      <c r="D345" s="10">
        <v>7725</v>
      </c>
      <c r="E345" s="10"/>
      <c r="F345" s="64" t="s">
        <v>558</v>
      </c>
      <c r="G345" s="10"/>
      <c r="H345" s="75">
        <v>40057</v>
      </c>
      <c r="I345" s="10"/>
      <c r="J345" s="10"/>
      <c r="K345" s="3"/>
    </row>
    <row r="346" spans="1:11" x14ac:dyDescent="0.25">
      <c r="A346" s="10">
        <v>488</v>
      </c>
      <c r="B346" s="4" t="s">
        <v>356</v>
      </c>
      <c r="C346" s="24" t="s">
        <v>590</v>
      </c>
      <c r="D346" s="10">
        <v>7725</v>
      </c>
      <c r="E346" s="10"/>
      <c r="F346" s="64" t="s">
        <v>558</v>
      </c>
      <c r="G346" s="10"/>
      <c r="H346" s="75">
        <v>40057</v>
      </c>
      <c r="I346" s="10"/>
      <c r="J346" s="10"/>
      <c r="K346" s="3"/>
    </row>
    <row r="347" spans="1:11" x14ac:dyDescent="0.25">
      <c r="A347" s="10">
        <v>489</v>
      </c>
      <c r="B347" s="4" t="s">
        <v>356</v>
      </c>
      <c r="C347" s="24" t="s">
        <v>591</v>
      </c>
      <c r="D347" s="10">
        <v>7736</v>
      </c>
      <c r="E347" s="10"/>
      <c r="F347" s="64" t="s">
        <v>558</v>
      </c>
      <c r="G347" s="10"/>
      <c r="H347" s="75">
        <v>40072</v>
      </c>
      <c r="I347" s="10"/>
      <c r="J347" s="10"/>
      <c r="K347" s="3"/>
    </row>
    <row r="348" spans="1:11" x14ac:dyDescent="0.25">
      <c r="A348" s="10">
        <v>490</v>
      </c>
      <c r="B348" s="4" t="s">
        <v>356</v>
      </c>
      <c r="C348" s="24" t="s">
        <v>593</v>
      </c>
      <c r="D348" s="10">
        <v>7732</v>
      </c>
      <c r="E348" s="10"/>
      <c r="F348" s="64" t="s">
        <v>562</v>
      </c>
      <c r="G348" s="10"/>
      <c r="H348" s="75">
        <v>40072</v>
      </c>
      <c r="I348" s="10"/>
      <c r="J348" s="10"/>
      <c r="K348" s="3"/>
    </row>
    <row r="349" spans="1:11" x14ac:dyDescent="0.25">
      <c r="A349" s="10">
        <v>491</v>
      </c>
      <c r="B349" s="4" t="s">
        <v>356</v>
      </c>
      <c r="C349" s="24" t="s">
        <v>592</v>
      </c>
      <c r="D349" s="10">
        <v>7732</v>
      </c>
      <c r="E349" s="10"/>
      <c r="F349" s="64" t="s">
        <v>562</v>
      </c>
      <c r="G349" s="10"/>
      <c r="H349" s="75">
        <v>40072</v>
      </c>
      <c r="I349" s="10"/>
      <c r="J349" s="10"/>
      <c r="K349" s="3"/>
    </row>
    <row r="350" spans="1:11" x14ac:dyDescent="0.25">
      <c r="A350" s="10">
        <v>492</v>
      </c>
      <c r="B350" s="4" t="s">
        <v>356</v>
      </c>
      <c r="C350" s="24" t="s">
        <v>594</v>
      </c>
      <c r="D350" s="10">
        <v>7732</v>
      </c>
      <c r="E350" s="10"/>
      <c r="F350" s="64" t="s">
        <v>562</v>
      </c>
      <c r="G350" s="10"/>
      <c r="H350" s="75">
        <v>39949</v>
      </c>
      <c r="I350" s="10"/>
      <c r="J350" s="10"/>
      <c r="K350" s="3"/>
    </row>
    <row r="351" spans="1:11" x14ac:dyDescent="0.25">
      <c r="A351" s="10">
        <v>493</v>
      </c>
      <c r="B351" s="4" t="s">
        <v>356</v>
      </c>
      <c r="C351" s="24" t="s">
        <v>595</v>
      </c>
      <c r="D351" s="10">
        <v>7700</v>
      </c>
      <c r="E351" s="10"/>
      <c r="F351" s="64" t="s">
        <v>561</v>
      </c>
      <c r="G351" s="10"/>
      <c r="H351" s="75">
        <v>40082</v>
      </c>
      <c r="I351" s="10"/>
      <c r="J351" s="10"/>
      <c r="K351" s="3"/>
    </row>
    <row r="352" spans="1:11" x14ac:dyDescent="0.25">
      <c r="A352" s="10">
        <v>494</v>
      </c>
      <c r="B352" s="4" t="s">
        <v>596</v>
      </c>
      <c r="C352" s="24" t="s">
        <v>664</v>
      </c>
      <c r="D352" s="10">
        <v>7700</v>
      </c>
      <c r="E352" s="10"/>
      <c r="F352" s="64" t="s">
        <v>564</v>
      </c>
      <c r="G352" s="10"/>
      <c r="H352" s="75">
        <v>40082</v>
      </c>
      <c r="I352" s="10"/>
      <c r="J352" s="10"/>
      <c r="K352" s="3"/>
    </row>
    <row r="353" spans="1:11" x14ac:dyDescent="0.25">
      <c r="A353" s="10">
        <v>495</v>
      </c>
      <c r="B353" s="4" t="s">
        <v>596</v>
      </c>
      <c r="C353" s="24" t="s">
        <v>665</v>
      </c>
      <c r="D353" s="10">
        <v>7700</v>
      </c>
      <c r="E353" s="10"/>
      <c r="F353" s="64" t="s">
        <v>564</v>
      </c>
      <c r="G353" s="10"/>
      <c r="H353" s="75">
        <v>40082</v>
      </c>
      <c r="I353" s="10"/>
      <c r="J353" s="10"/>
      <c r="K353" s="3"/>
    </row>
    <row r="354" spans="1:11" x14ac:dyDescent="0.25">
      <c r="A354" s="10">
        <v>496</v>
      </c>
      <c r="B354" s="4" t="s">
        <v>597</v>
      </c>
      <c r="C354" s="24" t="s">
        <v>598</v>
      </c>
      <c r="D354" s="10">
        <v>7704</v>
      </c>
      <c r="E354" s="10"/>
      <c r="F354" s="64" t="s">
        <v>490</v>
      </c>
      <c r="G354" s="10"/>
      <c r="H354" s="75">
        <v>40082</v>
      </c>
      <c r="I354" s="10"/>
      <c r="J354" s="10"/>
      <c r="K354" s="3"/>
    </row>
    <row r="355" spans="1:11" x14ac:dyDescent="0.25">
      <c r="A355" s="10">
        <v>497</v>
      </c>
      <c r="B355" s="4" t="s">
        <v>597</v>
      </c>
      <c r="C355" s="24" t="s">
        <v>599</v>
      </c>
      <c r="D355" s="10">
        <v>7704</v>
      </c>
      <c r="E355" s="10"/>
      <c r="F355" s="64" t="s">
        <v>490</v>
      </c>
      <c r="G355" s="10"/>
      <c r="H355" s="75">
        <v>40082</v>
      </c>
      <c r="I355" s="10"/>
      <c r="J355" s="10"/>
      <c r="K355" s="3"/>
    </row>
    <row r="356" spans="1:11" x14ac:dyDescent="0.25">
      <c r="A356" s="10">
        <v>498</v>
      </c>
      <c r="B356" s="4" t="s">
        <v>597</v>
      </c>
      <c r="C356" s="24" t="s">
        <v>600</v>
      </c>
      <c r="D356" s="10">
        <v>7704</v>
      </c>
      <c r="E356" s="10"/>
      <c r="F356" s="64" t="s">
        <v>490</v>
      </c>
      <c r="G356" s="10"/>
      <c r="H356" s="75">
        <v>40082</v>
      </c>
      <c r="I356" s="10"/>
      <c r="J356" s="10"/>
      <c r="K356" s="3"/>
    </row>
    <row r="357" spans="1:11" x14ac:dyDescent="0.25">
      <c r="A357" s="10">
        <v>499</v>
      </c>
      <c r="B357" s="4" t="s">
        <v>597</v>
      </c>
      <c r="C357" s="24" t="s">
        <v>601</v>
      </c>
      <c r="D357" s="10">
        <v>7704</v>
      </c>
      <c r="E357" s="10"/>
      <c r="F357" s="64" t="s">
        <v>490</v>
      </c>
      <c r="G357" s="10"/>
      <c r="H357" s="75">
        <v>40082</v>
      </c>
      <c r="I357" s="10"/>
      <c r="J357" s="10"/>
      <c r="K357" s="3"/>
    </row>
    <row r="358" spans="1:11" x14ac:dyDescent="0.25">
      <c r="A358" s="10">
        <v>500</v>
      </c>
      <c r="B358" s="4" t="s">
        <v>597</v>
      </c>
      <c r="C358" s="24" t="s">
        <v>602</v>
      </c>
      <c r="D358" s="10">
        <v>7704</v>
      </c>
      <c r="E358" s="10"/>
      <c r="F358" s="64" t="s">
        <v>490</v>
      </c>
      <c r="G358" s="10"/>
      <c r="H358" s="75">
        <v>40082</v>
      </c>
      <c r="I358" s="10"/>
      <c r="J358" s="10"/>
      <c r="K358" s="3"/>
    </row>
    <row r="359" spans="1:11" x14ac:dyDescent="0.25">
      <c r="A359" s="10">
        <v>501</v>
      </c>
      <c r="B359" s="4" t="s">
        <v>356</v>
      </c>
      <c r="C359" s="24" t="s">
        <v>603</v>
      </c>
      <c r="D359" s="10">
        <v>7646</v>
      </c>
      <c r="E359" s="10"/>
      <c r="F359" s="64" t="s">
        <v>560</v>
      </c>
      <c r="G359" s="10"/>
      <c r="H359" s="75">
        <v>40085</v>
      </c>
      <c r="I359" s="10"/>
      <c r="J359" s="10"/>
      <c r="K359" s="3"/>
    </row>
    <row r="360" spans="1:11" x14ac:dyDescent="0.25">
      <c r="A360" s="10">
        <v>502</v>
      </c>
      <c r="B360" s="4" t="s">
        <v>597</v>
      </c>
      <c r="C360" s="24" t="s">
        <v>604</v>
      </c>
      <c r="D360" s="10">
        <v>7646</v>
      </c>
      <c r="E360" s="10"/>
      <c r="F360" s="64" t="s">
        <v>559</v>
      </c>
      <c r="G360" s="10"/>
      <c r="H360" s="75">
        <v>40085</v>
      </c>
      <c r="I360" s="10"/>
      <c r="J360" s="10"/>
      <c r="K360" s="3"/>
    </row>
    <row r="361" spans="1:11" x14ac:dyDescent="0.25">
      <c r="A361" s="10">
        <v>503</v>
      </c>
      <c r="B361" s="4" t="s">
        <v>597</v>
      </c>
      <c r="C361" s="24" t="s">
        <v>605</v>
      </c>
      <c r="D361" s="10">
        <v>7646</v>
      </c>
      <c r="E361" s="10"/>
      <c r="F361" s="64" t="s">
        <v>560</v>
      </c>
      <c r="G361" s="10"/>
      <c r="H361" s="75">
        <v>40085</v>
      </c>
      <c r="I361" s="10"/>
      <c r="J361" s="10"/>
      <c r="K361" s="3"/>
    </row>
    <row r="362" spans="1:11" x14ac:dyDescent="0.25">
      <c r="A362" s="10">
        <v>504</v>
      </c>
      <c r="B362" s="4" t="s">
        <v>356</v>
      </c>
      <c r="C362" s="24" t="s">
        <v>606</v>
      </c>
      <c r="D362" s="10">
        <v>7707</v>
      </c>
      <c r="E362" s="10"/>
      <c r="F362" s="64" t="s">
        <v>559</v>
      </c>
      <c r="G362" s="10"/>
      <c r="H362" s="75">
        <v>40122</v>
      </c>
      <c r="I362" s="10"/>
      <c r="J362" s="10"/>
      <c r="K362" s="3"/>
    </row>
    <row r="363" spans="1:11" x14ac:dyDescent="0.25">
      <c r="A363" s="10">
        <v>505</v>
      </c>
      <c r="B363" s="4" t="s">
        <v>356</v>
      </c>
      <c r="C363" s="24" t="s">
        <v>607</v>
      </c>
      <c r="D363" s="10" t="s">
        <v>611</v>
      </c>
      <c r="E363" s="10"/>
      <c r="F363" s="64" t="s">
        <v>560</v>
      </c>
      <c r="G363" s="10"/>
      <c r="H363" s="75">
        <v>40128</v>
      </c>
      <c r="I363" s="10"/>
      <c r="J363" s="10"/>
      <c r="K363" s="3"/>
    </row>
    <row r="364" spans="1:11" x14ac:dyDescent="0.25">
      <c r="A364" s="10">
        <v>506</v>
      </c>
      <c r="B364" s="4" t="s">
        <v>356</v>
      </c>
      <c r="C364" s="24" t="s">
        <v>608</v>
      </c>
      <c r="D364" s="10" t="s">
        <v>611</v>
      </c>
      <c r="E364" s="10"/>
      <c r="F364" s="64" t="s">
        <v>560</v>
      </c>
      <c r="G364" s="10"/>
      <c r="H364" s="75">
        <v>40128</v>
      </c>
      <c r="I364" s="10"/>
      <c r="J364" s="10"/>
      <c r="K364" s="3"/>
    </row>
    <row r="365" spans="1:11" x14ac:dyDescent="0.25">
      <c r="A365" s="10">
        <v>507</v>
      </c>
      <c r="B365" s="4" t="s">
        <v>356</v>
      </c>
      <c r="C365" s="24" t="s">
        <v>609</v>
      </c>
      <c r="D365" s="10" t="s">
        <v>611</v>
      </c>
      <c r="E365" s="10"/>
      <c r="F365" s="64" t="s">
        <v>560</v>
      </c>
      <c r="G365" s="10"/>
      <c r="H365" s="75">
        <v>40128</v>
      </c>
      <c r="I365" s="10"/>
      <c r="J365" s="10"/>
      <c r="K365" s="3"/>
    </row>
    <row r="366" spans="1:11" x14ac:dyDescent="0.25">
      <c r="A366" s="10">
        <v>508</v>
      </c>
      <c r="B366" s="4" t="s">
        <v>356</v>
      </c>
      <c r="C366" s="24" t="s">
        <v>610</v>
      </c>
      <c r="D366" s="10" t="s">
        <v>611</v>
      </c>
      <c r="E366" s="10"/>
      <c r="F366" s="64" t="s">
        <v>560</v>
      </c>
      <c r="G366" s="10"/>
      <c r="H366" s="75">
        <v>40128</v>
      </c>
      <c r="I366" s="10"/>
      <c r="J366" s="10"/>
      <c r="K366" s="3"/>
    </row>
    <row r="367" spans="1:11" x14ac:dyDescent="0.25">
      <c r="A367" s="10">
        <v>509</v>
      </c>
      <c r="B367" s="4" t="s">
        <v>612</v>
      </c>
      <c r="C367" s="24" t="s">
        <v>613</v>
      </c>
      <c r="D367" s="10">
        <v>7479</v>
      </c>
      <c r="E367" s="10"/>
      <c r="F367" s="64" t="s">
        <v>564</v>
      </c>
      <c r="G367" s="10"/>
      <c r="H367" s="75">
        <v>40129</v>
      </c>
      <c r="I367" s="10"/>
      <c r="J367" s="10"/>
      <c r="K367" s="3"/>
    </row>
    <row r="368" spans="1:11" x14ac:dyDescent="0.25">
      <c r="A368" s="10">
        <v>510</v>
      </c>
      <c r="B368" s="4" t="s">
        <v>612</v>
      </c>
      <c r="C368" s="24" t="s">
        <v>613</v>
      </c>
      <c r="D368" s="10">
        <v>7479</v>
      </c>
      <c r="E368" s="10"/>
      <c r="F368" s="64" t="s">
        <v>564</v>
      </c>
      <c r="G368" s="10"/>
      <c r="H368" s="75">
        <v>40129</v>
      </c>
      <c r="I368" s="10"/>
      <c r="J368" s="10"/>
      <c r="K368" s="3"/>
    </row>
    <row r="369" spans="1:11" x14ac:dyDescent="0.25">
      <c r="A369" s="10">
        <v>511</v>
      </c>
      <c r="B369" s="4" t="s">
        <v>612</v>
      </c>
      <c r="C369" s="24" t="s">
        <v>613</v>
      </c>
      <c r="D369" s="10">
        <v>7479</v>
      </c>
      <c r="E369" s="10"/>
      <c r="F369" s="64" t="s">
        <v>564</v>
      </c>
      <c r="G369" s="10"/>
      <c r="H369" s="75">
        <v>40129</v>
      </c>
      <c r="I369" s="10"/>
      <c r="J369" s="10"/>
      <c r="K369" s="3"/>
    </row>
    <row r="370" spans="1:11" x14ac:dyDescent="0.25">
      <c r="A370" s="10">
        <v>512</v>
      </c>
      <c r="B370" s="4" t="s">
        <v>612</v>
      </c>
      <c r="C370" s="24" t="s">
        <v>613</v>
      </c>
      <c r="D370" s="10">
        <v>7479</v>
      </c>
      <c r="E370" s="10"/>
      <c r="F370" s="64" t="s">
        <v>564</v>
      </c>
      <c r="G370" s="10"/>
      <c r="H370" s="75">
        <v>40129</v>
      </c>
      <c r="I370" s="10"/>
      <c r="J370" s="10"/>
      <c r="K370" s="3"/>
    </row>
    <row r="371" spans="1:11" x14ac:dyDescent="0.25">
      <c r="A371" s="10">
        <v>513</v>
      </c>
      <c r="B371" s="4" t="s">
        <v>612</v>
      </c>
      <c r="C371" s="24" t="s">
        <v>613</v>
      </c>
      <c r="D371" s="10">
        <v>7479</v>
      </c>
      <c r="E371" s="10"/>
      <c r="F371" s="64" t="s">
        <v>564</v>
      </c>
      <c r="G371" s="10"/>
      <c r="H371" s="75">
        <v>40129</v>
      </c>
      <c r="I371" s="10"/>
      <c r="J371" s="10"/>
      <c r="K371" s="3"/>
    </row>
    <row r="372" spans="1:11" x14ac:dyDescent="0.25">
      <c r="A372" s="10">
        <v>514</v>
      </c>
      <c r="B372" s="4" t="s">
        <v>612</v>
      </c>
      <c r="C372" s="24" t="s">
        <v>613</v>
      </c>
      <c r="D372" s="10">
        <v>7479</v>
      </c>
      <c r="E372" s="10"/>
      <c r="F372" s="64" t="s">
        <v>564</v>
      </c>
      <c r="G372" s="10"/>
      <c r="H372" s="75">
        <v>40129</v>
      </c>
      <c r="I372" s="10"/>
      <c r="J372" s="10"/>
      <c r="K372" s="3"/>
    </row>
    <row r="373" spans="1:11" x14ac:dyDescent="0.25">
      <c r="A373" s="10">
        <v>515</v>
      </c>
      <c r="B373" s="4" t="s">
        <v>356</v>
      </c>
      <c r="C373" s="24" t="s">
        <v>614</v>
      </c>
      <c r="D373" s="10" t="s">
        <v>557</v>
      </c>
      <c r="E373" s="10"/>
      <c r="F373" s="64" t="s">
        <v>558</v>
      </c>
      <c r="G373" s="10"/>
      <c r="H373" s="75">
        <v>40135</v>
      </c>
      <c r="I373" s="10"/>
      <c r="J373" s="10"/>
      <c r="K373" s="3"/>
    </row>
    <row r="374" spans="1:11" x14ac:dyDescent="0.25">
      <c r="A374" s="10">
        <v>516</v>
      </c>
      <c r="B374" s="4" t="s">
        <v>597</v>
      </c>
      <c r="C374" s="24" t="s">
        <v>616</v>
      </c>
      <c r="D374" s="10" t="s">
        <v>615</v>
      </c>
      <c r="E374" s="10"/>
      <c r="F374" s="64" t="s">
        <v>560</v>
      </c>
      <c r="G374" s="10"/>
      <c r="H374" s="75">
        <v>40136</v>
      </c>
      <c r="I374" s="10"/>
      <c r="J374" s="10"/>
      <c r="K374" s="3"/>
    </row>
    <row r="375" spans="1:11" x14ac:dyDescent="0.25">
      <c r="A375" s="10">
        <v>517</v>
      </c>
      <c r="B375" s="4" t="s">
        <v>597</v>
      </c>
      <c r="C375" s="24" t="s">
        <v>619</v>
      </c>
      <c r="D375" s="10" t="s">
        <v>617</v>
      </c>
      <c r="E375" s="10"/>
      <c r="F375" s="64" t="s">
        <v>618</v>
      </c>
      <c r="G375" s="10"/>
      <c r="H375" s="75">
        <v>40148</v>
      </c>
      <c r="I375" s="10"/>
      <c r="J375" s="10"/>
      <c r="K375" s="3"/>
    </row>
    <row r="376" spans="1:11" x14ac:dyDescent="0.25">
      <c r="A376" s="10">
        <v>518</v>
      </c>
      <c r="B376" s="4" t="s">
        <v>597</v>
      </c>
      <c r="C376" s="24" t="s">
        <v>620</v>
      </c>
      <c r="D376" s="10">
        <v>7476</v>
      </c>
      <c r="E376" s="10"/>
      <c r="F376" s="64" t="s">
        <v>558</v>
      </c>
      <c r="G376" s="10"/>
      <c r="H376" s="75">
        <v>40149</v>
      </c>
      <c r="I376" s="10"/>
      <c r="J376" s="10"/>
      <c r="K376" s="3"/>
    </row>
    <row r="377" spans="1:11" x14ac:dyDescent="0.25">
      <c r="A377" s="10">
        <v>519</v>
      </c>
      <c r="B377" s="4" t="s">
        <v>597</v>
      </c>
      <c r="C377" s="24" t="s">
        <v>621</v>
      </c>
      <c r="D377" s="10">
        <v>7476</v>
      </c>
      <c r="E377" s="10"/>
      <c r="F377" s="64" t="s">
        <v>558</v>
      </c>
      <c r="G377" s="10"/>
      <c r="H377" s="75">
        <v>40149</v>
      </c>
      <c r="I377" s="10"/>
      <c r="J377" s="10"/>
      <c r="K377" s="3"/>
    </row>
    <row r="378" spans="1:11" x14ac:dyDescent="0.25">
      <c r="A378" s="10">
        <v>520</v>
      </c>
      <c r="B378" s="4" t="s">
        <v>597</v>
      </c>
      <c r="C378" s="24" t="s">
        <v>622</v>
      </c>
      <c r="D378" s="10">
        <v>7476</v>
      </c>
      <c r="E378" s="10"/>
      <c r="F378" s="64" t="s">
        <v>558</v>
      </c>
      <c r="G378" s="10"/>
      <c r="H378" s="75">
        <v>40149</v>
      </c>
      <c r="I378" s="10"/>
      <c r="J378" s="10"/>
      <c r="K378" s="3"/>
    </row>
    <row r="379" spans="1:11" x14ac:dyDescent="0.25">
      <c r="A379" s="10">
        <v>521</v>
      </c>
      <c r="B379" s="4" t="s">
        <v>597</v>
      </c>
      <c r="C379" s="24" t="s">
        <v>625</v>
      </c>
      <c r="D379" s="10" t="s">
        <v>624</v>
      </c>
      <c r="E379" s="10"/>
      <c r="F379" s="64" t="s">
        <v>623</v>
      </c>
      <c r="G379" s="10"/>
      <c r="H379" s="75">
        <v>40186</v>
      </c>
      <c r="I379" s="10"/>
      <c r="J379" s="10"/>
      <c r="K379" s="3"/>
    </row>
    <row r="380" spans="1:11" x14ac:dyDescent="0.25">
      <c r="A380" s="10">
        <v>522</v>
      </c>
      <c r="B380" s="4" t="s">
        <v>597</v>
      </c>
      <c r="C380" s="26" t="s">
        <v>626</v>
      </c>
      <c r="D380" s="10" t="s">
        <v>624</v>
      </c>
      <c r="E380" s="10"/>
      <c r="F380" s="64" t="s">
        <v>623</v>
      </c>
      <c r="G380" s="10"/>
      <c r="H380" s="92">
        <v>40186</v>
      </c>
      <c r="I380" s="10"/>
      <c r="J380" s="10"/>
      <c r="K380" s="3"/>
    </row>
    <row r="381" spans="1:11" x14ac:dyDescent="0.25">
      <c r="A381" s="10">
        <v>523</v>
      </c>
      <c r="B381" s="4" t="s">
        <v>597</v>
      </c>
      <c r="C381" s="31" t="s">
        <v>639</v>
      </c>
      <c r="D381" s="10">
        <v>8002</v>
      </c>
      <c r="E381" s="10"/>
      <c r="F381" s="64" t="s">
        <v>561</v>
      </c>
      <c r="G381" s="10"/>
      <c r="H381" s="92">
        <v>40435</v>
      </c>
      <c r="I381" s="10"/>
      <c r="J381" s="10"/>
      <c r="K381" s="3"/>
    </row>
    <row r="382" spans="1:11" x14ac:dyDescent="0.25">
      <c r="A382" s="10">
        <v>524</v>
      </c>
      <c r="B382" s="4" t="s">
        <v>597</v>
      </c>
      <c r="C382" s="26" t="s">
        <v>662</v>
      </c>
      <c r="D382" s="10">
        <v>7700</v>
      </c>
      <c r="E382" s="10"/>
      <c r="F382" s="64" t="s">
        <v>561</v>
      </c>
      <c r="G382" s="10"/>
      <c r="H382" s="92">
        <v>40198</v>
      </c>
      <c r="I382" s="10"/>
      <c r="J382" s="10"/>
      <c r="K382" s="3"/>
    </row>
    <row r="383" spans="1:11" x14ac:dyDescent="0.25">
      <c r="A383" s="41">
        <v>525</v>
      </c>
      <c r="B383" s="42" t="s">
        <v>597</v>
      </c>
      <c r="C383" s="40" t="s">
        <v>640</v>
      </c>
      <c r="D383" s="41">
        <v>7700</v>
      </c>
      <c r="E383" s="41"/>
      <c r="F383" s="86" t="s">
        <v>561</v>
      </c>
      <c r="G383" s="10"/>
      <c r="H383" s="93">
        <v>40198</v>
      </c>
      <c r="I383" s="10"/>
      <c r="J383" s="10"/>
      <c r="K383" s="3"/>
    </row>
    <row r="384" spans="1:11" x14ac:dyDescent="0.25">
      <c r="A384" s="41">
        <v>526</v>
      </c>
      <c r="B384" s="42" t="s">
        <v>597</v>
      </c>
      <c r="C384" s="40" t="s">
        <v>627</v>
      </c>
      <c r="D384" s="41">
        <v>7758</v>
      </c>
      <c r="E384" s="41"/>
      <c r="F384" s="86" t="s">
        <v>558</v>
      </c>
      <c r="G384" s="10"/>
      <c r="H384" s="93">
        <v>40213</v>
      </c>
      <c r="I384" s="10"/>
      <c r="J384" s="10"/>
      <c r="K384" s="3"/>
    </row>
    <row r="385" spans="1:11" x14ac:dyDescent="0.25">
      <c r="A385" s="10">
        <v>527</v>
      </c>
      <c r="B385" s="4" t="s">
        <v>597</v>
      </c>
      <c r="C385" s="24" t="s">
        <v>627</v>
      </c>
      <c r="D385" s="10">
        <v>7758</v>
      </c>
      <c r="E385" s="10"/>
      <c r="F385" s="64" t="s">
        <v>558</v>
      </c>
      <c r="G385" s="10"/>
      <c r="H385" s="75">
        <v>40213</v>
      </c>
      <c r="I385" s="10"/>
      <c r="J385" s="10"/>
      <c r="K385" s="3"/>
    </row>
    <row r="386" spans="1:11" x14ac:dyDescent="0.25">
      <c r="A386" s="10">
        <v>528</v>
      </c>
      <c r="B386" s="4" t="s">
        <v>597</v>
      </c>
      <c r="C386" s="24" t="s">
        <v>628</v>
      </c>
      <c r="D386" s="10">
        <v>7677</v>
      </c>
      <c r="E386" s="10"/>
      <c r="F386" s="64" t="s">
        <v>560</v>
      </c>
      <c r="G386" s="10"/>
      <c r="H386" s="75">
        <v>40220</v>
      </c>
      <c r="I386" s="10"/>
      <c r="J386" s="10"/>
      <c r="K386" s="3"/>
    </row>
    <row r="387" spans="1:11" x14ac:dyDescent="0.25">
      <c r="A387" s="10">
        <v>529</v>
      </c>
      <c r="B387" s="4" t="s">
        <v>597</v>
      </c>
      <c r="C387" s="24" t="s">
        <v>628</v>
      </c>
      <c r="D387" s="10">
        <v>7677</v>
      </c>
      <c r="E387" s="10"/>
      <c r="F387" s="64" t="s">
        <v>560</v>
      </c>
      <c r="G387" s="10"/>
      <c r="H387" s="75">
        <v>40220</v>
      </c>
      <c r="I387" s="10"/>
      <c r="J387" s="10"/>
      <c r="K387" s="3"/>
    </row>
    <row r="388" spans="1:11" x14ac:dyDescent="0.25">
      <c r="A388" s="10">
        <v>530</v>
      </c>
      <c r="B388" s="4" t="s">
        <v>597</v>
      </c>
      <c r="C388" s="24" t="s">
        <v>629</v>
      </c>
      <c r="D388" s="10">
        <v>7335</v>
      </c>
      <c r="E388" s="10"/>
      <c r="F388" s="64" t="s">
        <v>560</v>
      </c>
      <c r="G388" s="10"/>
      <c r="H388" s="75">
        <v>40235</v>
      </c>
      <c r="I388" s="10"/>
      <c r="J388" s="10"/>
      <c r="K388" s="3"/>
    </row>
    <row r="389" spans="1:11" x14ac:dyDescent="0.25">
      <c r="A389" s="10">
        <v>531</v>
      </c>
      <c r="B389" s="4" t="s">
        <v>597</v>
      </c>
      <c r="C389" s="24" t="s">
        <v>630</v>
      </c>
      <c r="D389" s="10">
        <v>7780</v>
      </c>
      <c r="E389" s="10"/>
      <c r="F389" s="64" t="s">
        <v>490</v>
      </c>
      <c r="G389" s="10"/>
      <c r="H389" s="75">
        <v>40239</v>
      </c>
      <c r="I389" s="10"/>
      <c r="J389" s="10"/>
      <c r="K389" s="3"/>
    </row>
    <row r="390" spans="1:11" x14ac:dyDescent="0.25">
      <c r="A390" s="10">
        <v>532</v>
      </c>
      <c r="B390" s="4" t="s">
        <v>597</v>
      </c>
      <c r="C390" s="24" t="s">
        <v>631</v>
      </c>
      <c r="D390" s="10">
        <v>7780</v>
      </c>
      <c r="E390" s="10"/>
      <c r="F390" s="64" t="s">
        <v>558</v>
      </c>
      <c r="G390" s="10"/>
      <c r="H390" s="75">
        <v>40239</v>
      </c>
      <c r="I390" s="10"/>
      <c r="J390" s="10"/>
      <c r="K390" s="3"/>
    </row>
    <row r="391" spans="1:11" x14ac:dyDescent="0.25">
      <c r="A391" s="10">
        <v>533</v>
      </c>
      <c r="B391" s="4" t="s">
        <v>597</v>
      </c>
      <c r="C391" s="24" t="s">
        <v>632</v>
      </c>
      <c r="D391" s="10">
        <v>7402</v>
      </c>
      <c r="E391" s="10"/>
      <c r="F391" s="64" t="s">
        <v>558</v>
      </c>
      <c r="G391" s="10"/>
      <c r="H391" s="75">
        <v>40259</v>
      </c>
      <c r="I391" s="10"/>
      <c r="J391" s="10"/>
      <c r="K391" s="3"/>
    </row>
    <row r="392" spans="1:11" x14ac:dyDescent="0.25">
      <c r="A392" s="10">
        <v>534</v>
      </c>
      <c r="B392" s="4" t="s">
        <v>597</v>
      </c>
      <c r="C392" s="24" t="s">
        <v>633</v>
      </c>
      <c r="D392" s="10">
        <v>7402</v>
      </c>
      <c r="E392" s="10"/>
      <c r="F392" s="64" t="s">
        <v>558</v>
      </c>
      <c r="G392" s="10"/>
      <c r="H392" s="75">
        <v>40259</v>
      </c>
      <c r="I392" s="10"/>
      <c r="J392" s="10"/>
      <c r="K392" s="3"/>
    </row>
    <row r="393" spans="1:11" x14ac:dyDescent="0.25">
      <c r="A393" s="10">
        <v>535</v>
      </c>
      <c r="B393" s="4" t="s">
        <v>597</v>
      </c>
      <c r="C393" s="24" t="s">
        <v>634</v>
      </c>
      <c r="D393" s="10">
        <v>7782</v>
      </c>
      <c r="E393" s="10"/>
      <c r="F393" s="64" t="s">
        <v>562</v>
      </c>
      <c r="G393" s="10"/>
      <c r="H393" s="75">
        <v>40269</v>
      </c>
      <c r="I393" s="10"/>
      <c r="J393" s="10"/>
      <c r="K393" s="3"/>
    </row>
    <row r="394" spans="1:11" x14ac:dyDescent="0.25">
      <c r="A394" s="10">
        <v>536</v>
      </c>
      <c r="B394" s="4" t="s">
        <v>597</v>
      </c>
      <c r="C394" s="3" t="s">
        <v>635</v>
      </c>
      <c r="D394" s="10">
        <v>7782</v>
      </c>
      <c r="E394" s="10"/>
      <c r="F394" s="64" t="s">
        <v>562</v>
      </c>
      <c r="G394" s="10"/>
      <c r="H394" s="75">
        <v>40269</v>
      </c>
      <c r="I394" s="10"/>
      <c r="J394" s="10"/>
      <c r="K394" s="3"/>
    </row>
    <row r="395" spans="1:11" x14ac:dyDescent="0.25">
      <c r="A395" s="10">
        <v>537</v>
      </c>
      <c r="B395" s="4" t="s">
        <v>597</v>
      </c>
      <c r="C395" s="24" t="s">
        <v>636</v>
      </c>
      <c r="D395" s="10">
        <v>7789</v>
      </c>
      <c r="E395" s="10"/>
      <c r="F395" s="64" t="s">
        <v>562</v>
      </c>
      <c r="G395" s="10"/>
      <c r="H395" s="75">
        <v>40274</v>
      </c>
      <c r="I395" s="10"/>
      <c r="J395" s="10"/>
      <c r="K395" s="3"/>
    </row>
    <row r="396" spans="1:11" x14ac:dyDescent="0.25">
      <c r="A396" s="10">
        <v>538</v>
      </c>
      <c r="B396" s="4" t="s">
        <v>597</v>
      </c>
      <c r="C396" s="24" t="s">
        <v>637</v>
      </c>
      <c r="D396" s="10">
        <v>7788</v>
      </c>
      <c r="E396" s="10"/>
      <c r="F396" s="64" t="s">
        <v>558</v>
      </c>
      <c r="G396" s="10"/>
      <c r="H396" s="75">
        <v>40275</v>
      </c>
      <c r="I396" s="10"/>
      <c r="J396" s="10"/>
      <c r="K396" s="3"/>
    </row>
    <row r="397" spans="1:11" x14ac:dyDescent="0.25">
      <c r="A397" s="10">
        <v>539</v>
      </c>
      <c r="B397" s="4" t="s">
        <v>597</v>
      </c>
      <c r="C397" s="24" t="s">
        <v>467</v>
      </c>
      <c r="D397" s="10">
        <v>7788</v>
      </c>
      <c r="E397" s="10"/>
      <c r="F397" s="64" t="s">
        <v>490</v>
      </c>
      <c r="G397" s="10"/>
      <c r="H397" s="75">
        <v>40275</v>
      </c>
      <c r="I397" s="10"/>
      <c r="J397" s="10"/>
      <c r="K397" s="3"/>
    </row>
    <row r="398" spans="1:11" x14ac:dyDescent="0.25">
      <c r="A398" s="10">
        <v>540</v>
      </c>
      <c r="B398" s="4" t="s">
        <v>597</v>
      </c>
      <c r="C398" s="24" t="s">
        <v>638</v>
      </c>
      <c r="D398" s="10">
        <v>7711</v>
      </c>
      <c r="E398" s="10"/>
      <c r="F398" s="64" t="s">
        <v>352</v>
      </c>
      <c r="G398" s="10"/>
      <c r="H398" s="75">
        <v>40281</v>
      </c>
      <c r="I398" s="10"/>
      <c r="J398" s="10"/>
      <c r="K398" s="3"/>
    </row>
    <row r="399" spans="1:11" x14ac:dyDescent="0.25">
      <c r="A399" s="10">
        <v>541</v>
      </c>
      <c r="B399" s="4" t="s">
        <v>597</v>
      </c>
      <c r="C399" s="24" t="s">
        <v>639</v>
      </c>
      <c r="D399" s="10">
        <v>7711</v>
      </c>
      <c r="E399" s="10"/>
      <c r="F399" s="64" t="s">
        <v>352</v>
      </c>
      <c r="G399" s="10"/>
      <c r="H399" s="75">
        <v>40281</v>
      </c>
      <c r="I399" s="10"/>
      <c r="J399" s="10"/>
      <c r="K399" s="3"/>
    </row>
    <row r="400" spans="1:11" x14ac:dyDescent="0.25">
      <c r="A400" s="10">
        <v>542</v>
      </c>
      <c r="B400" s="4" t="s">
        <v>597</v>
      </c>
      <c r="C400" s="24" t="s">
        <v>640</v>
      </c>
      <c r="D400" s="10">
        <v>7711</v>
      </c>
      <c r="E400" s="10"/>
      <c r="F400" s="64" t="s">
        <v>352</v>
      </c>
      <c r="G400" s="10"/>
      <c r="H400" s="75">
        <v>40281</v>
      </c>
      <c r="I400" s="10"/>
      <c r="J400" s="10"/>
      <c r="K400" s="3"/>
    </row>
    <row r="401" spans="1:11" x14ac:dyDescent="0.25">
      <c r="A401" s="10">
        <v>543</v>
      </c>
      <c r="B401" s="4" t="s">
        <v>597</v>
      </c>
      <c r="C401" s="24" t="s">
        <v>641</v>
      </c>
      <c r="D401" s="10" t="s">
        <v>645</v>
      </c>
      <c r="E401" s="10"/>
      <c r="F401" s="64" t="s">
        <v>352</v>
      </c>
      <c r="G401" s="10"/>
      <c r="H401" s="75">
        <v>40291</v>
      </c>
      <c r="I401" s="10"/>
      <c r="J401" s="10"/>
      <c r="K401" s="3"/>
    </row>
    <row r="402" spans="1:11" x14ac:dyDescent="0.25">
      <c r="A402" s="10">
        <v>544</v>
      </c>
      <c r="B402" s="4" t="s">
        <v>597</v>
      </c>
      <c r="C402" s="24" t="s">
        <v>644</v>
      </c>
      <c r="D402" s="10">
        <v>8099</v>
      </c>
      <c r="E402" s="10"/>
      <c r="F402" s="64" t="s">
        <v>558</v>
      </c>
      <c r="G402" s="10"/>
      <c r="H402" s="75">
        <v>40718</v>
      </c>
      <c r="I402" s="10"/>
      <c r="J402" s="10"/>
      <c r="K402" s="3"/>
    </row>
    <row r="403" spans="1:11" x14ac:dyDescent="0.25">
      <c r="A403" s="10">
        <v>545</v>
      </c>
      <c r="B403" s="4" t="s">
        <v>597</v>
      </c>
      <c r="C403" s="24" t="s">
        <v>646</v>
      </c>
      <c r="D403" s="10" t="s">
        <v>649</v>
      </c>
      <c r="E403" s="10"/>
      <c r="F403" s="64" t="s">
        <v>558</v>
      </c>
      <c r="G403" s="10"/>
      <c r="H403" s="75">
        <v>40297</v>
      </c>
      <c r="I403" s="10"/>
      <c r="J403" s="10"/>
      <c r="K403" s="3"/>
    </row>
    <row r="404" spans="1:11" x14ac:dyDescent="0.25">
      <c r="A404" s="10">
        <v>546</v>
      </c>
      <c r="B404" s="4" t="s">
        <v>597</v>
      </c>
      <c r="C404" s="24" t="s">
        <v>647</v>
      </c>
      <c r="D404" s="10">
        <v>7791</v>
      </c>
      <c r="E404" s="10"/>
      <c r="F404" s="64" t="s">
        <v>558</v>
      </c>
      <c r="G404" s="10"/>
      <c r="H404" s="75">
        <v>40297</v>
      </c>
      <c r="I404" s="10"/>
      <c r="J404" s="10"/>
      <c r="K404" s="3"/>
    </row>
    <row r="405" spans="1:11" x14ac:dyDescent="0.25">
      <c r="A405" s="10">
        <v>547</v>
      </c>
      <c r="B405" s="4" t="s">
        <v>597</v>
      </c>
      <c r="C405" s="24" t="s">
        <v>648</v>
      </c>
      <c r="D405" s="10">
        <v>7536</v>
      </c>
      <c r="E405" s="10"/>
      <c r="F405" s="64" t="s">
        <v>560</v>
      </c>
      <c r="G405" s="10"/>
      <c r="H405" s="75">
        <v>40298</v>
      </c>
      <c r="I405" s="10"/>
      <c r="J405" s="10"/>
      <c r="K405" s="3"/>
    </row>
    <row r="406" spans="1:11" x14ac:dyDescent="0.25">
      <c r="A406" s="10">
        <v>548</v>
      </c>
      <c r="B406" s="4" t="s">
        <v>597</v>
      </c>
      <c r="C406" s="24" t="s">
        <v>651</v>
      </c>
      <c r="D406" s="10">
        <v>7727</v>
      </c>
      <c r="E406" s="10"/>
      <c r="F406" s="64" t="s">
        <v>558</v>
      </c>
      <c r="G406" s="10"/>
      <c r="H406" s="75">
        <v>40302</v>
      </c>
      <c r="I406" s="10"/>
      <c r="J406" s="10"/>
      <c r="K406" s="3"/>
    </row>
    <row r="407" spans="1:11" x14ac:dyDescent="0.25">
      <c r="A407" s="10">
        <v>549</v>
      </c>
      <c r="B407" s="4" t="s">
        <v>597</v>
      </c>
      <c r="C407" s="24" t="s">
        <v>652</v>
      </c>
      <c r="D407" s="10">
        <v>7727</v>
      </c>
      <c r="E407" s="10"/>
      <c r="F407" s="64" t="s">
        <v>558</v>
      </c>
      <c r="G407" s="10"/>
      <c r="H407" s="75">
        <v>40302</v>
      </c>
      <c r="I407" s="10"/>
      <c r="J407" s="10"/>
      <c r="K407" s="3"/>
    </row>
    <row r="408" spans="1:11" x14ac:dyDescent="0.25">
      <c r="A408" s="10">
        <v>550</v>
      </c>
      <c r="B408" s="4" t="s">
        <v>597</v>
      </c>
      <c r="C408" s="24" t="s">
        <v>653</v>
      </c>
      <c r="D408" s="10">
        <v>7727</v>
      </c>
      <c r="E408" s="10"/>
      <c r="F408" s="64" t="s">
        <v>558</v>
      </c>
      <c r="G408" s="10"/>
      <c r="H408" s="75">
        <v>40302</v>
      </c>
      <c r="I408" s="10"/>
      <c r="J408" s="10"/>
      <c r="K408" s="3"/>
    </row>
    <row r="409" spans="1:11" x14ac:dyDescent="0.25">
      <c r="A409" s="10">
        <v>551</v>
      </c>
      <c r="B409" s="4" t="s">
        <v>597</v>
      </c>
      <c r="C409" s="32" t="s">
        <v>663</v>
      </c>
      <c r="D409" s="10">
        <v>7536</v>
      </c>
      <c r="E409" s="10"/>
      <c r="F409" s="64" t="s">
        <v>560</v>
      </c>
      <c r="G409" s="10"/>
      <c r="H409" s="94"/>
      <c r="I409" s="10"/>
      <c r="J409" s="10"/>
      <c r="K409" s="3"/>
    </row>
    <row r="410" spans="1:11" x14ac:dyDescent="0.25">
      <c r="A410" s="10">
        <v>552</v>
      </c>
      <c r="B410" s="4" t="s">
        <v>597</v>
      </c>
      <c r="C410" s="24" t="s">
        <v>654</v>
      </c>
      <c r="D410" s="10" t="s">
        <v>658</v>
      </c>
      <c r="E410" s="10"/>
      <c r="F410" s="64" t="s">
        <v>560</v>
      </c>
      <c r="G410" s="10"/>
      <c r="H410" s="75">
        <v>40323</v>
      </c>
      <c r="I410" s="10"/>
      <c r="J410" s="10"/>
      <c r="K410" s="3"/>
    </row>
    <row r="411" spans="1:11" x14ac:dyDescent="0.25">
      <c r="A411" s="10">
        <v>553</v>
      </c>
      <c r="B411" s="4" t="s">
        <v>597</v>
      </c>
      <c r="C411" s="24" t="s">
        <v>655</v>
      </c>
      <c r="D411" s="10" t="s">
        <v>659</v>
      </c>
      <c r="E411" s="10"/>
      <c r="F411" s="64" t="s">
        <v>560</v>
      </c>
      <c r="G411" s="10"/>
      <c r="H411" s="75">
        <v>40323</v>
      </c>
      <c r="I411" s="10"/>
      <c r="J411" s="10"/>
      <c r="K411" s="3"/>
    </row>
    <row r="412" spans="1:11" x14ac:dyDescent="0.25">
      <c r="A412" s="10">
        <v>554</v>
      </c>
      <c r="B412" s="4" t="s">
        <v>597</v>
      </c>
      <c r="C412" s="24" t="s">
        <v>656</v>
      </c>
      <c r="D412" s="10" t="s">
        <v>659</v>
      </c>
      <c r="E412" s="10"/>
      <c r="F412" s="64" t="s">
        <v>560</v>
      </c>
      <c r="G412" s="10"/>
      <c r="H412" s="75">
        <v>40323</v>
      </c>
      <c r="I412" s="10"/>
      <c r="J412" s="10"/>
      <c r="K412" s="3"/>
    </row>
    <row r="413" spans="1:11" x14ac:dyDescent="0.25">
      <c r="A413" s="10">
        <v>555</v>
      </c>
      <c r="B413" s="4" t="s">
        <v>597</v>
      </c>
      <c r="C413" s="24" t="s">
        <v>657</v>
      </c>
      <c r="D413" s="10" t="s">
        <v>658</v>
      </c>
      <c r="E413" s="10"/>
      <c r="F413" s="64" t="s">
        <v>560</v>
      </c>
      <c r="G413" s="10"/>
      <c r="H413" s="75">
        <v>40323</v>
      </c>
      <c r="I413" s="10"/>
      <c r="J413" s="10"/>
      <c r="K413" s="3"/>
    </row>
    <row r="414" spans="1:11" x14ac:dyDescent="0.25">
      <c r="A414" s="4">
        <v>556</v>
      </c>
      <c r="B414" s="4" t="s">
        <v>597</v>
      </c>
      <c r="C414" s="24" t="s">
        <v>660</v>
      </c>
      <c r="D414" s="10" t="s">
        <v>661</v>
      </c>
      <c r="E414" s="10"/>
      <c r="F414" s="64" t="s">
        <v>558</v>
      </c>
      <c r="G414" s="10"/>
      <c r="H414" s="75">
        <v>40366</v>
      </c>
      <c r="I414" s="10"/>
      <c r="J414" s="10"/>
      <c r="K414" s="3"/>
    </row>
    <row r="415" spans="1:11" x14ac:dyDescent="0.25">
      <c r="A415" s="10">
        <v>557</v>
      </c>
      <c r="B415" s="4" t="s">
        <v>597</v>
      </c>
      <c r="C415" s="24" t="s">
        <v>666</v>
      </c>
      <c r="D415" s="10" t="s">
        <v>661</v>
      </c>
      <c r="E415" s="10"/>
      <c r="F415" s="64" t="s">
        <v>558</v>
      </c>
      <c r="G415" s="10"/>
      <c r="H415" s="75">
        <v>40378</v>
      </c>
      <c r="I415" s="10"/>
      <c r="J415" s="10"/>
      <c r="K415" s="3"/>
    </row>
    <row r="416" spans="1:11" x14ac:dyDescent="0.25">
      <c r="A416" s="10">
        <v>558</v>
      </c>
      <c r="B416" s="4" t="s">
        <v>597</v>
      </c>
      <c r="C416" s="24" t="s">
        <v>667</v>
      </c>
      <c r="D416" s="10">
        <v>7727</v>
      </c>
      <c r="E416" s="10"/>
      <c r="F416" s="64" t="s">
        <v>558</v>
      </c>
      <c r="G416" s="10"/>
      <c r="H416" s="75">
        <v>40381</v>
      </c>
      <c r="I416" s="10"/>
      <c r="J416" s="10"/>
      <c r="K416" s="3"/>
    </row>
    <row r="417" spans="1:11" x14ac:dyDescent="0.25">
      <c r="A417" s="10">
        <v>559</v>
      </c>
      <c r="B417" s="4" t="s">
        <v>597</v>
      </c>
      <c r="C417" s="24" t="s">
        <v>668</v>
      </c>
      <c r="D417" s="10">
        <v>8020</v>
      </c>
      <c r="E417" s="10"/>
      <c r="F417" s="64" t="s">
        <v>490</v>
      </c>
      <c r="G417" s="10"/>
      <c r="H417" s="75">
        <v>40456</v>
      </c>
      <c r="I417" s="10"/>
      <c r="J417" s="10"/>
      <c r="K417" s="3"/>
    </row>
    <row r="418" spans="1:11" x14ac:dyDescent="0.25">
      <c r="A418" s="10">
        <v>560</v>
      </c>
      <c r="B418" s="4" t="s">
        <v>597</v>
      </c>
      <c r="C418" s="24" t="s">
        <v>669</v>
      </c>
      <c r="D418" s="10">
        <v>8020</v>
      </c>
      <c r="E418" s="10"/>
      <c r="F418" s="64" t="s">
        <v>490</v>
      </c>
      <c r="G418" s="10"/>
      <c r="H418" s="75">
        <v>40456</v>
      </c>
      <c r="I418" s="10"/>
      <c r="J418" s="10"/>
      <c r="K418" s="3"/>
    </row>
    <row r="419" spans="1:11" x14ac:dyDescent="0.25">
      <c r="A419" s="10">
        <v>561</v>
      </c>
      <c r="B419" s="4" t="s">
        <v>596</v>
      </c>
      <c r="C419" s="24">
        <v>4479770210</v>
      </c>
      <c r="D419" s="10" t="s">
        <v>650</v>
      </c>
      <c r="E419" s="10"/>
      <c r="F419" s="64" t="s">
        <v>389</v>
      </c>
      <c r="G419" s="10"/>
      <c r="H419" s="75">
        <v>40483</v>
      </c>
      <c r="I419" s="10"/>
      <c r="J419" s="10"/>
      <c r="K419" s="3"/>
    </row>
    <row r="420" spans="1:11" x14ac:dyDescent="0.25">
      <c r="A420" s="10">
        <v>562</v>
      </c>
      <c r="B420" s="4" t="s">
        <v>597</v>
      </c>
      <c r="C420" s="24" t="s">
        <v>677</v>
      </c>
      <c r="D420" s="10">
        <v>8011</v>
      </c>
      <c r="E420" s="10"/>
      <c r="F420" s="64" t="s">
        <v>560</v>
      </c>
      <c r="G420" s="10"/>
      <c r="H420" s="75">
        <v>40492</v>
      </c>
      <c r="I420" s="10"/>
      <c r="J420" s="10"/>
      <c r="K420" s="3"/>
    </row>
    <row r="421" spans="1:11" x14ac:dyDescent="0.25">
      <c r="A421" s="10">
        <v>563</v>
      </c>
      <c r="B421" s="4" t="s">
        <v>597</v>
      </c>
      <c r="C421" s="24" t="s">
        <v>670</v>
      </c>
      <c r="D421" s="10">
        <v>8011</v>
      </c>
      <c r="E421" s="10"/>
      <c r="F421" s="64" t="s">
        <v>560</v>
      </c>
      <c r="G421" s="10"/>
      <c r="H421" s="75">
        <v>40492</v>
      </c>
      <c r="I421" s="10"/>
      <c r="J421" s="10"/>
      <c r="K421" s="3"/>
    </row>
    <row r="422" spans="1:11" x14ac:dyDescent="0.25">
      <c r="A422" s="10">
        <v>564</v>
      </c>
      <c r="B422" s="4" t="s">
        <v>597</v>
      </c>
      <c r="C422" s="24" t="s">
        <v>671</v>
      </c>
      <c r="D422" s="10">
        <v>8011</v>
      </c>
      <c r="E422" s="10"/>
      <c r="F422" s="64" t="s">
        <v>560</v>
      </c>
      <c r="G422" s="10"/>
      <c r="H422" s="75">
        <v>40492</v>
      </c>
      <c r="I422" s="10"/>
      <c r="J422" s="10"/>
      <c r="K422" s="3"/>
    </row>
    <row r="423" spans="1:11" x14ac:dyDescent="0.25">
      <c r="A423" s="10">
        <v>565</v>
      </c>
      <c r="B423" s="4" t="s">
        <v>596</v>
      </c>
      <c r="C423" s="24" t="s">
        <v>678</v>
      </c>
      <c r="D423" s="10">
        <v>8056</v>
      </c>
      <c r="E423" s="10"/>
      <c r="F423" s="64" t="s">
        <v>389</v>
      </c>
      <c r="G423" s="10"/>
      <c r="H423" s="75">
        <v>40499</v>
      </c>
      <c r="I423" s="10"/>
      <c r="J423" s="10"/>
      <c r="K423" s="3"/>
    </row>
    <row r="424" spans="1:11" x14ac:dyDescent="0.25">
      <c r="A424" s="10">
        <v>566</v>
      </c>
      <c r="B424" s="4" t="s">
        <v>597</v>
      </c>
      <c r="C424" s="24" t="s">
        <v>672</v>
      </c>
      <c r="D424" s="10">
        <v>8056</v>
      </c>
      <c r="E424" s="10"/>
      <c r="F424" s="64" t="s">
        <v>558</v>
      </c>
      <c r="G424" s="10"/>
      <c r="H424" s="75">
        <v>40499</v>
      </c>
      <c r="I424" s="10"/>
      <c r="J424" s="10"/>
      <c r="K424" s="3"/>
    </row>
    <row r="425" spans="1:11" x14ac:dyDescent="0.25">
      <c r="A425" s="10">
        <v>567</v>
      </c>
      <c r="B425" s="4" t="s">
        <v>597</v>
      </c>
      <c r="C425" s="24" t="s">
        <v>673</v>
      </c>
      <c r="D425" s="10">
        <v>8056</v>
      </c>
      <c r="E425" s="10"/>
      <c r="F425" s="64" t="s">
        <v>558</v>
      </c>
      <c r="G425" s="10"/>
      <c r="H425" s="75">
        <v>40499</v>
      </c>
      <c r="I425" s="10"/>
      <c r="J425" s="10"/>
      <c r="K425" s="3"/>
    </row>
    <row r="426" spans="1:11" x14ac:dyDescent="0.25">
      <c r="A426" s="10">
        <v>568</v>
      </c>
      <c r="B426" s="4" t="s">
        <v>597</v>
      </c>
      <c r="C426" s="24" t="s">
        <v>674</v>
      </c>
      <c r="D426" s="10">
        <v>8056</v>
      </c>
      <c r="E426" s="10"/>
      <c r="F426" s="64" t="s">
        <v>558</v>
      </c>
      <c r="G426" s="10"/>
      <c r="H426" s="75">
        <v>40499</v>
      </c>
      <c r="I426" s="10"/>
      <c r="J426" s="10"/>
      <c r="K426" s="3"/>
    </row>
    <row r="427" spans="1:11" x14ac:dyDescent="0.25">
      <c r="A427" s="10">
        <v>569</v>
      </c>
      <c r="B427" s="4" t="s">
        <v>597</v>
      </c>
      <c r="C427" s="24" t="s">
        <v>675</v>
      </c>
      <c r="D427" s="10">
        <v>8056</v>
      </c>
      <c r="E427" s="10"/>
      <c r="F427" s="64" t="s">
        <v>558</v>
      </c>
      <c r="G427" s="10"/>
      <c r="H427" s="75">
        <v>40499</v>
      </c>
      <c r="I427" s="10"/>
      <c r="J427" s="10"/>
      <c r="K427" s="3"/>
    </row>
    <row r="428" spans="1:11" x14ac:dyDescent="0.25">
      <c r="A428" s="10">
        <v>570</v>
      </c>
      <c r="B428" s="4" t="s">
        <v>597</v>
      </c>
      <c r="C428" s="24" t="s">
        <v>676</v>
      </c>
      <c r="D428" s="10" t="s">
        <v>681</v>
      </c>
      <c r="E428" s="10"/>
      <c r="F428" s="64" t="s">
        <v>560</v>
      </c>
      <c r="G428" s="10"/>
      <c r="H428" s="75">
        <v>40506</v>
      </c>
      <c r="I428" s="10"/>
      <c r="J428" s="10"/>
      <c r="K428" s="3"/>
    </row>
    <row r="429" spans="1:11" x14ac:dyDescent="0.25">
      <c r="A429" s="10">
        <v>571</v>
      </c>
      <c r="B429" s="4" t="s">
        <v>597</v>
      </c>
      <c r="C429" s="24" t="s">
        <v>679</v>
      </c>
      <c r="D429" s="10">
        <v>8045</v>
      </c>
      <c r="E429" s="10"/>
      <c r="F429" s="64" t="s">
        <v>680</v>
      </c>
      <c r="G429" s="10"/>
      <c r="H429" s="75">
        <v>40510</v>
      </c>
      <c r="I429" s="10"/>
      <c r="J429" s="10"/>
      <c r="K429" s="3"/>
    </row>
    <row r="430" spans="1:11" x14ac:dyDescent="0.25">
      <c r="A430" s="10">
        <v>572</v>
      </c>
      <c r="B430" s="4" t="s">
        <v>597</v>
      </c>
      <c r="C430" s="24" t="s">
        <v>682</v>
      </c>
      <c r="D430" s="10">
        <v>7124</v>
      </c>
      <c r="E430" s="10"/>
      <c r="F430" s="64" t="s">
        <v>560</v>
      </c>
      <c r="G430" s="10"/>
      <c r="H430" s="75">
        <v>40514</v>
      </c>
      <c r="I430" s="10"/>
      <c r="J430" s="10"/>
      <c r="K430" s="3"/>
    </row>
    <row r="431" spans="1:11" x14ac:dyDescent="0.25">
      <c r="A431" s="10">
        <v>573</v>
      </c>
      <c r="B431" s="4" t="s">
        <v>597</v>
      </c>
      <c r="C431" s="24" t="s">
        <v>683</v>
      </c>
      <c r="D431" s="10">
        <v>8002</v>
      </c>
      <c r="E431" s="10"/>
      <c r="F431" s="64" t="s">
        <v>561</v>
      </c>
      <c r="G431" s="10"/>
      <c r="H431" s="75">
        <v>40532</v>
      </c>
      <c r="I431" s="10"/>
      <c r="J431" s="10"/>
      <c r="K431" s="3"/>
    </row>
    <row r="432" spans="1:11" x14ac:dyDescent="0.25">
      <c r="A432" s="10">
        <v>574</v>
      </c>
      <c r="B432" s="4" t="s">
        <v>597</v>
      </c>
      <c r="C432" s="24" t="s">
        <v>14</v>
      </c>
      <c r="D432" s="10" t="s">
        <v>15</v>
      </c>
      <c r="E432" s="10"/>
      <c r="F432" s="64" t="s">
        <v>560</v>
      </c>
      <c r="G432" s="10"/>
      <c r="H432" s="75">
        <v>40605</v>
      </c>
      <c r="I432" s="10"/>
      <c r="J432" s="10"/>
      <c r="K432" s="3"/>
    </row>
    <row r="433" spans="1:11" x14ac:dyDescent="0.25">
      <c r="A433" s="10">
        <v>575</v>
      </c>
      <c r="B433" s="4" t="s">
        <v>597</v>
      </c>
      <c r="C433" s="24" t="s">
        <v>16</v>
      </c>
      <c r="D433" s="10">
        <v>8011</v>
      </c>
      <c r="E433" s="10"/>
      <c r="F433" s="64" t="s">
        <v>560</v>
      </c>
      <c r="G433" s="10"/>
      <c r="H433" s="75">
        <v>40626</v>
      </c>
      <c r="I433" s="10"/>
      <c r="J433" s="10"/>
      <c r="K433" s="3"/>
    </row>
    <row r="434" spans="1:11" x14ac:dyDescent="0.25">
      <c r="A434" s="10">
        <v>576</v>
      </c>
      <c r="B434" s="4" t="s">
        <v>597</v>
      </c>
      <c r="C434" s="24" t="s">
        <v>17</v>
      </c>
      <c r="D434" s="10">
        <v>8011</v>
      </c>
      <c r="E434" s="10"/>
      <c r="F434" s="64" t="s">
        <v>560</v>
      </c>
      <c r="G434" s="10"/>
      <c r="H434" s="75">
        <v>40626</v>
      </c>
      <c r="I434" s="10"/>
      <c r="J434" s="10"/>
      <c r="K434" s="3"/>
    </row>
    <row r="435" spans="1:11" x14ac:dyDescent="0.25">
      <c r="A435" s="10">
        <v>577</v>
      </c>
      <c r="B435" s="4" t="s">
        <v>597</v>
      </c>
      <c r="C435" s="24" t="s">
        <v>18</v>
      </c>
      <c r="D435" s="10">
        <v>8011</v>
      </c>
      <c r="E435" s="10"/>
      <c r="F435" s="64" t="s">
        <v>560</v>
      </c>
      <c r="G435" s="10"/>
      <c r="H435" s="75">
        <v>40626</v>
      </c>
      <c r="I435" s="10"/>
      <c r="J435" s="10"/>
      <c r="K435" s="3"/>
    </row>
    <row r="436" spans="1:11" x14ac:dyDescent="0.25">
      <c r="A436" s="10">
        <v>578</v>
      </c>
      <c r="B436" s="4" t="s">
        <v>597</v>
      </c>
      <c r="C436" s="24" t="s">
        <v>19</v>
      </c>
      <c r="D436" s="10">
        <v>8011</v>
      </c>
      <c r="E436" s="10"/>
      <c r="F436" s="64" t="s">
        <v>560</v>
      </c>
      <c r="G436" s="10"/>
      <c r="H436" s="75">
        <v>40626</v>
      </c>
      <c r="I436" s="10"/>
      <c r="J436" s="10"/>
      <c r="K436" s="3"/>
    </row>
    <row r="437" spans="1:11" x14ac:dyDescent="0.25">
      <c r="A437" s="10">
        <v>579</v>
      </c>
      <c r="B437" s="4" t="s">
        <v>597</v>
      </c>
      <c r="C437" s="24" t="s">
        <v>21</v>
      </c>
      <c r="D437" s="10">
        <v>8011</v>
      </c>
      <c r="E437" s="10"/>
      <c r="F437" s="64" t="s">
        <v>560</v>
      </c>
      <c r="G437" s="10"/>
      <c r="H437" s="75">
        <v>40626</v>
      </c>
      <c r="I437" s="10"/>
      <c r="J437" s="10"/>
      <c r="K437" s="3"/>
    </row>
    <row r="438" spans="1:11" x14ac:dyDescent="0.25">
      <c r="A438" s="10">
        <v>580</v>
      </c>
      <c r="B438" s="4" t="s">
        <v>597</v>
      </c>
      <c r="C438" s="24" t="s">
        <v>20</v>
      </c>
      <c r="D438" s="10">
        <v>8011</v>
      </c>
      <c r="E438" s="10"/>
      <c r="F438" s="64" t="s">
        <v>560</v>
      </c>
      <c r="G438" s="10"/>
      <c r="H438" s="75">
        <v>40626</v>
      </c>
      <c r="I438" s="10"/>
      <c r="J438" s="10"/>
      <c r="K438" s="3"/>
    </row>
    <row r="439" spans="1:11" x14ac:dyDescent="0.25">
      <c r="A439" s="10">
        <v>581</v>
      </c>
      <c r="B439" s="4" t="s">
        <v>597</v>
      </c>
      <c r="C439" s="24" t="s">
        <v>22</v>
      </c>
      <c r="D439" s="10" t="s">
        <v>26</v>
      </c>
      <c r="E439" s="10"/>
      <c r="F439" s="64" t="s">
        <v>558</v>
      </c>
      <c r="G439" s="10"/>
      <c r="H439" s="75">
        <v>40626</v>
      </c>
      <c r="I439" s="10"/>
      <c r="J439" s="10"/>
      <c r="K439" s="3"/>
    </row>
    <row r="440" spans="1:11" x14ac:dyDescent="0.25">
      <c r="A440" s="10">
        <v>582</v>
      </c>
      <c r="B440" s="4" t="s">
        <v>597</v>
      </c>
      <c r="C440" s="24" t="s">
        <v>23</v>
      </c>
      <c r="D440" s="10" t="s">
        <v>26</v>
      </c>
      <c r="E440" s="10"/>
      <c r="F440" s="64" t="s">
        <v>558</v>
      </c>
      <c r="G440" s="10"/>
      <c r="H440" s="75">
        <v>40626</v>
      </c>
      <c r="I440" s="10"/>
      <c r="J440" s="10"/>
      <c r="K440" s="3"/>
    </row>
    <row r="441" spans="1:11" x14ac:dyDescent="0.25">
      <c r="A441" s="10">
        <v>583</v>
      </c>
      <c r="B441" s="4" t="s">
        <v>597</v>
      </c>
      <c r="C441" s="24" t="s">
        <v>24</v>
      </c>
      <c r="D441" s="10" t="s">
        <v>26</v>
      </c>
      <c r="E441" s="10"/>
      <c r="F441" s="64" t="s">
        <v>558</v>
      </c>
      <c r="G441" s="10"/>
      <c r="H441" s="75">
        <v>40626</v>
      </c>
      <c r="I441" s="10"/>
      <c r="J441" s="10"/>
      <c r="K441" s="3"/>
    </row>
    <row r="442" spans="1:11" x14ac:dyDescent="0.25">
      <c r="A442" s="10">
        <v>584</v>
      </c>
      <c r="B442" s="4" t="s">
        <v>597</v>
      </c>
      <c r="C442" s="24" t="s">
        <v>25</v>
      </c>
      <c r="D442" s="10" t="s">
        <v>26</v>
      </c>
      <c r="E442" s="10"/>
      <c r="F442" s="64" t="s">
        <v>558</v>
      </c>
      <c r="G442" s="10"/>
      <c r="H442" s="75">
        <v>40626</v>
      </c>
      <c r="I442" s="10"/>
      <c r="J442" s="10"/>
      <c r="K442" s="3"/>
    </row>
    <row r="443" spans="1:11" x14ac:dyDescent="0.25">
      <c r="A443" s="10">
        <v>585</v>
      </c>
      <c r="B443" s="4" t="s">
        <v>597</v>
      </c>
      <c r="C443" s="24" t="s">
        <v>93</v>
      </c>
      <c r="D443" s="10">
        <v>8033</v>
      </c>
      <c r="E443" s="10"/>
      <c r="F443" s="64" t="s">
        <v>558</v>
      </c>
      <c r="G443" s="10"/>
      <c r="H443" s="75">
        <v>40626</v>
      </c>
      <c r="I443" s="10"/>
      <c r="J443" s="10"/>
      <c r="K443" s="3"/>
    </row>
    <row r="444" spans="1:11" x14ac:dyDescent="0.25">
      <c r="A444" s="10">
        <v>586</v>
      </c>
      <c r="B444" s="4" t="s">
        <v>597</v>
      </c>
      <c r="C444" s="24" t="s">
        <v>94</v>
      </c>
      <c r="D444" s="10">
        <v>8033</v>
      </c>
      <c r="E444" s="10"/>
      <c r="F444" s="64" t="s">
        <v>558</v>
      </c>
      <c r="G444" s="10"/>
      <c r="H444" s="75">
        <v>40626</v>
      </c>
      <c r="I444" s="10"/>
      <c r="J444" s="10"/>
      <c r="K444" s="3"/>
    </row>
    <row r="445" spans="1:11" x14ac:dyDescent="0.25">
      <c r="A445" s="10">
        <v>587</v>
      </c>
      <c r="B445" s="4" t="s">
        <v>597</v>
      </c>
      <c r="C445" s="24" t="s">
        <v>95</v>
      </c>
      <c r="D445" s="10">
        <v>8033</v>
      </c>
      <c r="E445" s="10"/>
      <c r="F445" s="64" t="s">
        <v>558</v>
      </c>
      <c r="G445" s="10"/>
      <c r="H445" s="75">
        <v>40626</v>
      </c>
      <c r="I445" s="10"/>
      <c r="J445" s="10"/>
      <c r="K445" s="3"/>
    </row>
    <row r="446" spans="1:11" x14ac:dyDescent="0.25">
      <c r="A446" s="10">
        <v>588</v>
      </c>
      <c r="B446" s="4" t="s">
        <v>597</v>
      </c>
      <c r="C446" s="24" t="s">
        <v>96</v>
      </c>
      <c r="D446" s="10">
        <v>8033</v>
      </c>
      <c r="E446" s="10"/>
      <c r="F446" s="64" t="s">
        <v>558</v>
      </c>
      <c r="G446" s="10"/>
      <c r="H446" s="75">
        <v>40626</v>
      </c>
      <c r="I446" s="10"/>
      <c r="J446" s="10"/>
      <c r="K446" s="3"/>
    </row>
    <row r="447" spans="1:11" x14ac:dyDescent="0.25">
      <c r="A447" s="10">
        <v>589</v>
      </c>
      <c r="B447" s="4" t="s">
        <v>597</v>
      </c>
      <c r="C447" s="24" t="s">
        <v>102</v>
      </c>
      <c r="D447" s="10">
        <v>8033</v>
      </c>
      <c r="E447" s="10"/>
      <c r="F447" s="64" t="s">
        <v>559</v>
      </c>
      <c r="G447" s="10"/>
      <c r="H447" s="75">
        <v>40626</v>
      </c>
      <c r="I447" s="10"/>
      <c r="J447" s="10"/>
      <c r="K447" s="3"/>
    </row>
    <row r="448" spans="1:11" x14ac:dyDescent="0.25">
      <c r="A448" s="10">
        <v>590</v>
      </c>
      <c r="B448" s="4" t="s">
        <v>597</v>
      </c>
      <c r="C448" s="24" t="s">
        <v>101</v>
      </c>
      <c r="D448" s="10">
        <v>8033</v>
      </c>
      <c r="E448" s="10"/>
      <c r="F448" s="64" t="s">
        <v>559</v>
      </c>
      <c r="G448" s="10"/>
      <c r="H448" s="75">
        <v>40626</v>
      </c>
      <c r="I448" s="10"/>
      <c r="J448" s="10"/>
      <c r="K448" s="3"/>
    </row>
    <row r="449" spans="1:11" x14ac:dyDescent="0.25">
      <c r="A449" s="10">
        <v>591</v>
      </c>
      <c r="B449" s="4" t="s">
        <v>597</v>
      </c>
      <c r="C449" s="24" t="s">
        <v>100</v>
      </c>
      <c r="D449" s="10">
        <v>8033</v>
      </c>
      <c r="E449" s="10"/>
      <c r="F449" s="64" t="s">
        <v>559</v>
      </c>
      <c r="G449" s="10"/>
      <c r="H449" s="75">
        <v>40626</v>
      </c>
      <c r="I449" s="10"/>
      <c r="J449" s="10"/>
      <c r="K449" s="3"/>
    </row>
    <row r="450" spans="1:11" x14ac:dyDescent="0.25">
      <c r="A450" s="10">
        <v>592</v>
      </c>
      <c r="B450" s="4" t="s">
        <v>597</v>
      </c>
      <c r="C450" s="24" t="s">
        <v>99</v>
      </c>
      <c r="D450" s="10">
        <v>8033</v>
      </c>
      <c r="E450" s="10"/>
      <c r="F450" s="64" t="s">
        <v>559</v>
      </c>
      <c r="G450" s="10"/>
      <c r="H450" s="75">
        <v>40626</v>
      </c>
      <c r="I450" s="10"/>
      <c r="J450" s="10"/>
      <c r="K450" s="3"/>
    </row>
    <row r="451" spans="1:11" x14ac:dyDescent="0.25">
      <c r="A451" s="10">
        <v>593</v>
      </c>
      <c r="B451" s="4" t="s">
        <v>597</v>
      </c>
      <c r="C451" s="24" t="s">
        <v>28</v>
      </c>
      <c r="D451" s="10">
        <v>8033</v>
      </c>
      <c r="E451" s="10"/>
      <c r="F451" s="64" t="s">
        <v>559</v>
      </c>
      <c r="G451" s="10"/>
      <c r="H451" s="75">
        <v>40626</v>
      </c>
      <c r="I451" s="10"/>
      <c r="J451" s="10"/>
      <c r="K451" s="3"/>
    </row>
    <row r="452" spans="1:11" x14ac:dyDescent="0.25">
      <c r="A452" s="10">
        <v>594</v>
      </c>
      <c r="B452" s="4" t="s">
        <v>597</v>
      </c>
      <c r="C452" s="24" t="s">
        <v>90</v>
      </c>
      <c r="D452" s="10">
        <v>8043</v>
      </c>
      <c r="E452" s="10"/>
      <c r="F452" s="64" t="s">
        <v>560</v>
      </c>
      <c r="G452" s="10"/>
      <c r="H452" s="75">
        <v>40626</v>
      </c>
      <c r="I452" s="10"/>
      <c r="J452" s="10"/>
      <c r="K452" s="3"/>
    </row>
    <row r="453" spans="1:11" x14ac:dyDescent="0.25">
      <c r="A453" s="10">
        <v>595</v>
      </c>
      <c r="B453" s="4" t="s">
        <v>597</v>
      </c>
      <c r="C453" s="24" t="s">
        <v>89</v>
      </c>
      <c r="D453" s="10">
        <v>8043</v>
      </c>
      <c r="E453" s="10"/>
      <c r="F453" s="64" t="s">
        <v>560</v>
      </c>
      <c r="G453" s="10"/>
      <c r="H453" s="75">
        <v>40626</v>
      </c>
      <c r="I453" s="10"/>
      <c r="J453" s="10"/>
      <c r="K453" s="3"/>
    </row>
    <row r="454" spans="1:11" x14ac:dyDescent="0.25">
      <c r="A454" s="10">
        <v>596</v>
      </c>
      <c r="B454" s="4" t="s">
        <v>597</v>
      </c>
      <c r="C454" s="24" t="s">
        <v>97</v>
      </c>
      <c r="D454" s="10">
        <v>8033</v>
      </c>
      <c r="E454" s="10"/>
      <c r="F454" s="64" t="s">
        <v>562</v>
      </c>
      <c r="G454" s="10"/>
      <c r="H454" s="75">
        <v>40626</v>
      </c>
      <c r="I454" s="10"/>
      <c r="J454" s="10"/>
      <c r="K454" s="3"/>
    </row>
    <row r="455" spans="1:11" x14ac:dyDescent="0.25">
      <c r="A455" s="10">
        <v>597</v>
      </c>
      <c r="B455" s="4" t="s">
        <v>597</v>
      </c>
      <c r="C455" s="24" t="s">
        <v>98</v>
      </c>
      <c r="D455" s="10">
        <v>8033</v>
      </c>
      <c r="E455" s="10"/>
      <c r="F455" s="64" t="s">
        <v>559</v>
      </c>
      <c r="G455" s="10"/>
      <c r="H455" s="75">
        <v>40626</v>
      </c>
      <c r="I455" s="10"/>
      <c r="J455" s="10"/>
      <c r="K455" s="3"/>
    </row>
    <row r="456" spans="1:11" x14ac:dyDescent="0.25">
      <c r="A456" s="10">
        <v>598</v>
      </c>
      <c r="B456" s="4" t="s">
        <v>597</v>
      </c>
      <c r="C456" s="24" t="s">
        <v>30</v>
      </c>
      <c r="D456" s="10">
        <v>8077</v>
      </c>
      <c r="F456" s="64" t="s">
        <v>558</v>
      </c>
      <c r="G456" s="10"/>
      <c r="H456" s="75">
        <v>40630</v>
      </c>
      <c r="I456" s="10"/>
      <c r="J456" s="10"/>
      <c r="K456" s="3"/>
    </row>
    <row r="457" spans="1:11" x14ac:dyDescent="0.25">
      <c r="A457" s="10">
        <v>599</v>
      </c>
      <c r="B457" s="4" t="s">
        <v>597</v>
      </c>
      <c r="C457" s="24" t="s">
        <v>29</v>
      </c>
      <c r="D457" s="10">
        <v>8077</v>
      </c>
      <c r="E457" s="10"/>
      <c r="F457" s="64" t="s">
        <v>558</v>
      </c>
      <c r="G457" s="10"/>
      <c r="H457" s="75">
        <v>40630</v>
      </c>
      <c r="I457" s="10"/>
      <c r="J457" s="10"/>
      <c r="K457" s="3"/>
    </row>
    <row r="458" spans="1:11" x14ac:dyDescent="0.25">
      <c r="A458" s="10">
        <v>600</v>
      </c>
      <c r="B458" s="4" t="s">
        <v>596</v>
      </c>
      <c r="C458" s="23" t="s">
        <v>103</v>
      </c>
      <c r="D458" s="10">
        <v>8033</v>
      </c>
      <c r="E458" s="10"/>
      <c r="F458" s="64" t="s">
        <v>27</v>
      </c>
      <c r="G458" s="10"/>
      <c r="H458" s="75">
        <v>40630</v>
      </c>
      <c r="I458" s="10"/>
      <c r="J458" s="10"/>
      <c r="K458" s="3"/>
    </row>
    <row r="459" spans="1:11" x14ac:dyDescent="0.25">
      <c r="A459" s="10">
        <v>601</v>
      </c>
      <c r="B459" s="4" t="s">
        <v>597</v>
      </c>
      <c r="C459" s="24" t="s">
        <v>87</v>
      </c>
      <c r="D459" s="10">
        <v>8080</v>
      </c>
      <c r="E459" s="10"/>
      <c r="F459" s="64" t="s">
        <v>558</v>
      </c>
      <c r="G459" s="10"/>
      <c r="H459" s="75">
        <v>40640</v>
      </c>
      <c r="I459" s="10"/>
      <c r="J459" s="10"/>
      <c r="K459" s="3"/>
    </row>
    <row r="460" spans="1:11" x14ac:dyDescent="0.25">
      <c r="A460" s="10">
        <v>602</v>
      </c>
      <c r="B460" s="4" t="s">
        <v>597</v>
      </c>
      <c r="C460" s="24" t="s">
        <v>88</v>
      </c>
      <c r="D460" s="10">
        <v>8080</v>
      </c>
      <c r="E460" s="10"/>
      <c r="F460" s="64" t="s">
        <v>558</v>
      </c>
      <c r="G460" s="10"/>
      <c r="H460" s="75">
        <v>40640</v>
      </c>
      <c r="I460" s="10"/>
      <c r="J460" s="10"/>
      <c r="K460" s="3"/>
    </row>
    <row r="461" spans="1:11" x14ac:dyDescent="0.25">
      <c r="A461" s="10">
        <v>603</v>
      </c>
      <c r="B461" s="4" t="s">
        <v>597</v>
      </c>
      <c r="C461" s="24" t="s">
        <v>92</v>
      </c>
      <c r="D461" s="10">
        <v>8069</v>
      </c>
      <c r="E461" s="10"/>
      <c r="F461" s="64" t="s">
        <v>560</v>
      </c>
      <c r="G461" s="10"/>
      <c r="H461" s="75">
        <v>40646</v>
      </c>
      <c r="I461" s="10"/>
      <c r="J461" s="10"/>
      <c r="K461" s="3"/>
    </row>
    <row r="462" spans="1:11" x14ac:dyDescent="0.25">
      <c r="A462" s="10">
        <v>604</v>
      </c>
      <c r="B462" s="4" t="s">
        <v>597</v>
      </c>
      <c r="C462" s="24" t="s">
        <v>91</v>
      </c>
      <c r="D462" s="10">
        <v>8069</v>
      </c>
      <c r="E462" s="10"/>
      <c r="F462" s="64" t="s">
        <v>560</v>
      </c>
      <c r="G462" s="10"/>
      <c r="H462" s="75">
        <v>40646</v>
      </c>
      <c r="I462" s="10"/>
      <c r="J462" s="10"/>
      <c r="K462" s="3"/>
    </row>
    <row r="463" spans="1:11" x14ac:dyDescent="0.25">
      <c r="A463" s="10">
        <v>605</v>
      </c>
      <c r="B463" s="4" t="s">
        <v>597</v>
      </c>
      <c r="C463" s="24" t="s">
        <v>104</v>
      </c>
      <c r="D463" s="10">
        <v>8076</v>
      </c>
      <c r="E463" s="10"/>
      <c r="F463" s="64" t="s">
        <v>560</v>
      </c>
      <c r="G463" s="10"/>
      <c r="H463" s="75">
        <v>40652</v>
      </c>
      <c r="I463" s="10"/>
      <c r="J463" s="10"/>
      <c r="K463" s="3"/>
    </row>
    <row r="464" spans="1:11" x14ac:dyDescent="0.25">
      <c r="A464" s="10">
        <v>606</v>
      </c>
      <c r="B464" s="4" t="s">
        <v>597</v>
      </c>
      <c r="C464" s="24" t="s">
        <v>106</v>
      </c>
      <c r="D464" s="10" t="s">
        <v>105</v>
      </c>
      <c r="E464" s="10"/>
      <c r="F464" s="64" t="s">
        <v>560</v>
      </c>
      <c r="G464" s="10"/>
      <c r="H464" s="75">
        <v>40652</v>
      </c>
      <c r="I464" s="10"/>
      <c r="J464" s="10"/>
      <c r="K464" s="3"/>
    </row>
    <row r="465" spans="1:11" x14ac:dyDescent="0.25">
      <c r="A465" s="10">
        <v>607</v>
      </c>
      <c r="B465" s="4" t="s">
        <v>597</v>
      </c>
      <c r="C465" s="24" t="s">
        <v>107</v>
      </c>
      <c r="D465" s="10" t="s">
        <v>105</v>
      </c>
      <c r="E465" s="10"/>
      <c r="F465" s="64" t="s">
        <v>560</v>
      </c>
      <c r="G465" s="10"/>
      <c r="H465" s="75">
        <v>40652</v>
      </c>
      <c r="I465" s="10"/>
      <c r="J465" s="10"/>
      <c r="K465" s="3"/>
    </row>
    <row r="466" spans="1:11" x14ac:dyDescent="0.25">
      <c r="A466" s="10">
        <v>608</v>
      </c>
      <c r="B466" s="4" t="s">
        <v>597</v>
      </c>
      <c r="C466" s="24" t="s">
        <v>120</v>
      </c>
      <c r="D466" s="10">
        <v>8066</v>
      </c>
      <c r="E466" s="10"/>
      <c r="F466" s="64" t="s">
        <v>560</v>
      </c>
      <c r="G466" s="10"/>
      <c r="H466" s="75">
        <v>40672</v>
      </c>
      <c r="I466" s="10"/>
      <c r="J466" s="10"/>
      <c r="K466" s="3"/>
    </row>
    <row r="467" spans="1:11" x14ac:dyDescent="0.25">
      <c r="A467" s="10">
        <v>609</v>
      </c>
      <c r="B467" s="4" t="s">
        <v>597</v>
      </c>
      <c r="C467" s="24" t="s">
        <v>121</v>
      </c>
      <c r="D467" s="10">
        <v>8066</v>
      </c>
      <c r="E467" s="10"/>
      <c r="F467" s="64" t="s">
        <v>560</v>
      </c>
      <c r="G467" s="10"/>
      <c r="H467" s="75">
        <v>40672</v>
      </c>
      <c r="I467" s="10"/>
      <c r="J467" s="10"/>
      <c r="K467" s="3"/>
    </row>
    <row r="468" spans="1:11" x14ac:dyDescent="0.25">
      <c r="A468" s="10">
        <v>610</v>
      </c>
      <c r="B468" s="4" t="s">
        <v>597</v>
      </c>
      <c r="C468" s="24" t="s">
        <v>122</v>
      </c>
      <c r="D468" s="10">
        <v>8066</v>
      </c>
      <c r="E468" s="10"/>
      <c r="F468" s="64" t="s">
        <v>560</v>
      </c>
      <c r="G468" s="10"/>
      <c r="H468" s="75">
        <v>40672</v>
      </c>
      <c r="I468" s="10"/>
      <c r="J468" s="10"/>
      <c r="K468" s="3"/>
    </row>
    <row r="469" spans="1:11" x14ac:dyDescent="0.25">
      <c r="A469" s="10">
        <v>611</v>
      </c>
      <c r="B469" s="4" t="s">
        <v>597</v>
      </c>
      <c r="C469" s="24" t="s">
        <v>123</v>
      </c>
      <c r="D469" s="10">
        <v>8066</v>
      </c>
      <c r="E469" s="10"/>
      <c r="F469" s="64" t="s">
        <v>560</v>
      </c>
      <c r="G469" s="10"/>
      <c r="H469" s="75">
        <v>40672</v>
      </c>
      <c r="I469" s="10"/>
      <c r="J469" s="10"/>
      <c r="K469" s="3"/>
    </row>
    <row r="470" spans="1:11" x14ac:dyDescent="0.25">
      <c r="A470" s="10">
        <v>612</v>
      </c>
      <c r="B470" s="4" t="s">
        <v>597</v>
      </c>
      <c r="C470" s="24" t="s">
        <v>124</v>
      </c>
      <c r="D470" s="10">
        <v>8066</v>
      </c>
      <c r="E470" s="10"/>
      <c r="F470" s="64" t="s">
        <v>560</v>
      </c>
      <c r="G470" s="10"/>
      <c r="H470" s="75">
        <v>40672</v>
      </c>
      <c r="I470" s="10"/>
      <c r="J470" s="10"/>
      <c r="K470" s="3"/>
    </row>
    <row r="471" spans="1:11" x14ac:dyDescent="0.25">
      <c r="A471" s="10">
        <v>613</v>
      </c>
      <c r="B471" s="4" t="s">
        <v>597</v>
      </c>
      <c r="C471" s="24" t="s">
        <v>125</v>
      </c>
      <c r="D471" s="10">
        <v>8066</v>
      </c>
      <c r="E471" s="10"/>
      <c r="F471" s="64" t="s">
        <v>560</v>
      </c>
      <c r="G471" s="10"/>
      <c r="H471" s="75">
        <v>40672</v>
      </c>
      <c r="I471" s="10"/>
      <c r="J471" s="10"/>
      <c r="K471" s="3"/>
    </row>
    <row r="472" spans="1:11" x14ac:dyDescent="0.25">
      <c r="A472" s="10">
        <v>614</v>
      </c>
      <c r="B472" s="4" t="s">
        <v>597</v>
      </c>
      <c r="C472" s="24" t="s">
        <v>126</v>
      </c>
      <c r="D472" s="10">
        <v>8066</v>
      </c>
      <c r="E472" s="10"/>
      <c r="F472" s="64" t="s">
        <v>560</v>
      </c>
      <c r="G472" s="10"/>
      <c r="H472" s="75">
        <v>40672</v>
      </c>
      <c r="I472" s="10"/>
      <c r="J472" s="10"/>
      <c r="K472" s="3"/>
    </row>
    <row r="473" spans="1:11" x14ac:dyDescent="0.25">
      <c r="A473" s="10" t="s">
        <v>127</v>
      </c>
      <c r="B473" s="4" t="s">
        <v>597</v>
      </c>
      <c r="C473" s="24" t="s">
        <v>128</v>
      </c>
      <c r="D473" s="10">
        <v>8011</v>
      </c>
      <c r="E473" s="10"/>
      <c r="F473" s="64" t="s">
        <v>560</v>
      </c>
      <c r="G473" s="10"/>
      <c r="H473" s="75">
        <v>40674</v>
      </c>
      <c r="I473" s="10"/>
      <c r="J473" s="10"/>
      <c r="K473" s="3"/>
    </row>
    <row r="474" spans="1:11" x14ac:dyDescent="0.25">
      <c r="A474" s="10" t="s">
        <v>127</v>
      </c>
      <c r="B474" s="4" t="s">
        <v>597</v>
      </c>
      <c r="C474" s="24" t="s">
        <v>129</v>
      </c>
      <c r="D474" s="10">
        <v>8011</v>
      </c>
      <c r="E474" s="10"/>
      <c r="F474" s="64" t="s">
        <v>560</v>
      </c>
      <c r="G474" s="10"/>
      <c r="H474" s="75">
        <v>40674</v>
      </c>
      <c r="I474" s="10"/>
      <c r="J474" s="10"/>
      <c r="K474" s="3"/>
    </row>
    <row r="475" spans="1:11" x14ac:dyDescent="0.25">
      <c r="A475" s="10" t="s">
        <v>127</v>
      </c>
      <c r="B475" s="4" t="s">
        <v>597</v>
      </c>
      <c r="C475" s="24" t="s">
        <v>130</v>
      </c>
      <c r="D475" s="10">
        <v>8011</v>
      </c>
      <c r="E475" s="10"/>
      <c r="F475" s="64" t="s">
        <v>560</v>
      </c>
      <c r="G475" s="10"/>
      <c r="H475" s="75">
        <v>40674</v>
      </c>
      <c r="I475" s="10"/>
      <c r="J475" s="10"/>
      <c r="K475" s="3"/>
    </row>
    <row r="476" spans="1:11" s="34" customFormat="1" x14ac:dyDescent="0.25">
      <c r="A476" s="12">
        <v>615</v>
      </c>
      <c r="B476" s="7" t="s">
        <v>551</v>
      </c>
      <c r="C476" s="26" t="s">
        <v>131</v>
      </c>
      <c r="D476" s="12">
        <v>8099</v>
      </c>
      <c r="E476" s="12"/>
      <c r="F476" s="62" t="s">
        <v>389</v>
      </c>
      <c r="G476" s="12"/>
      <c r="H476" s="92">
        <v>40676</v>
      </c>
      <c r="I476" s="12"/>
      <c r="J476" s="12"/>
      <c r="K476" s="30"/>
    </row>
    <row r="477" spans="1:11" s="34" customFormat="1" x14ac:dyDescent="0.25">
      <c r="A477" s="12">
        <v>616</v>
      </c>
      <c r="B477" s="7" t="s">
        <v>551</v>
      </c>
      <c r="C477" s="26" t="s">
        <v>132</v>
      </c>
      <c r="D477" s="12">
        <v>8099</v>
      </c>
      <c r="E477" s="12"/>
      <c r="F477" s="62" t="s">
        <v>389</v>
      </c>
      <c r="G477" s="12"/>
      <c r="H477" s="92">
        <v>40676</v>
      </c>
      <c r="I477" s="12"/>
      <c r="J477" s="12"/>
      <c r="K477" s="30"/>
    </row>
    <row r="478" spans="1:11" s="34" customFormat="1" x14ac:dyDescent="0.25">
      <c r="A478" s="12">
        <v>617</v>
      </c>
      <c r="B478" s="7" t="s">
        <v>597</v>
      </c>
      <c r="C478" s="26" t="s">
        <v>133</v>
      </c>
      <c r="D478" s="12" t="s">
        <v>135</v>
      </c>
      <c r="E478" s="12"/>
      <c r="F478" s="62" t="s">
        <v>560</v>
      </c>
      <c r="G478" s="12"/>
      <c r="H478" s="92">
        <v>40682</v>
      </c>
      <c r="I478" s="12"/>
      <c r="J478" s="12"/>
      <c r="K478" s="30"/>
    </row>
    <row r="479" spans="1:11" s="34" customFormat="1" x14ac:dyDescent="0.25">
      <c r="A479" s="12">
        <v>618</v>
      </c>
      <c r="B479" s="7" t="s">
        <v>597</v>
      </c>
      <c r="C479" s="26" t="s">
        <v>134</v>
      </c>
      <c r="D479" s="12" t="s">
        <v>135</v>
      </c>
      <c r="E479" s="12"/>
      <c r="F479" s="62" t="s">
        <v>560</v>
      </c>
      <c r="G479" s="12"/>
      <c r="H479" s="92">
        <v>40682</v>
      </c>
      <c r="I479" s="12"/>
      <c r="J479" s="12"/>
      <c r="K479" s="30"/>
    </row>
    <row r="480" spans="1:11" s="34" customFormat="1" x14ac:dyDescent="0.25">
      <c r="A480" s="12">
        <v>619</v>
      </c>
      <c r="B480" s="7" t="s">
        <v>597</v>
      </c>
      <c r="C480" s="26" t="s">
        <v>145</v>
      </c>
      <c r="D480" s="12">
        <v>8089</v>
      </c>
      <c r="E480" s="12"/>
      <c r="F480" s="62" t="s">
        <v>407</v>
      </c>
      <c r="G480" s="12"/>
      <c r="H480" s="92">
        <v>40688</v>
      </c>
      <c r="I480" s="12"/>
      <c r="J480" s="12"/>
      <c r="K480" s="30"/>
    </row>
    <row r="481" spans="1:11" s="34" customFormat="1" x14ac:dyDescent="0.25">
      <c r="A481" s="12">
        <v>620</v>
      </c>
      <c r="B481" s="7" t="s">
        <v>597</v>
      </c>
      <c r="C481" s="26" t="s">
        <v>146</v>
      </c>
      <c r="D481" s="12">
        <v>8089</v>
      </c>
      <c r="E481" s="12"/>
      <c r="F481" s="62" t="s">
        <v>407</v>
      </c>
      <c r="G481" s="12"/>
      <c r="H481" s="92">
        <v>40688</v>
      </c>
      <c r="I481" s="12"/>
      <c r="J481" s="12"/>
      <c r="K481" s="30"/>
    </row>
    <row r="482" spans="1:11" s="34" customFormat="1" x14ac:dyDescent="0.25">
      <c r="A482" s="12">
        <v>621</v>
      </c>
      <c r="B482" s="7" t="s">
        <v>597</v>
      </c>
      <c r="C482" s="26" t="s">
        <v>147</v>
      </c>
      <c r="D482" s="12">
        <v>8089</v>
      </c>
      <c r="E482" s="12"/>
      <c r="F482" s="62" t="s">
        <v>407</v>
      </c>
      <c r="G482" s="12"/>
      <c r="H482" s="92">
        <v>40688</v>
      </c>
      <c r="I482" s="12"/>
      <c r="J482" s="12"/>
      <c r="K482" s="30"/>
    </row>
    <row r="483" spans="1:11" x14ac:dyDescent="0.25">
      <c r="A483" s="10">
        <v>622</v>
      </c>
      <c r="B483" s="4" t="s">
        <v>597</v>
      </c>
      <c r="C483" s="24" t="s">
        <v>148</v>
      </c>
      <c r="D483" s="10">
        <v>8083</v>
      </c>
      <c r="E483" s="10"/>
      <c r="F483" s="64" t="s">
        <v>618</v>
      </c>
      <c r="G483" s="10"/>
      <c r="H483" s="75">
        <v>40688</v>
      </c>
      <c r="I483" s="10"/>
      <c r="J483" s="10"/>
      <c r="K483" s="3"/>
    </row>
    <row r="484" spans="1:11" x14ac:dyDescent="0.25">
      <c r="A484" s="10">
        <v>623</v>
      </c>
      <c r="B484" s="4" t="s">
        <v>597</v>
      </c>
      <c r="C484" s="24" t="s">
        <v>149</v>
      </c>
      <c r="D484" s="10">
        <v>8083</v>
      </c>
      <c r="E484" s="10"/>
      <c r="F484" s="64" t="s">
        <v>618</v>
      </c>
      <c r="G484" s="10"/>
      <c r="H484" s="75">
        <v>40688</v>
      </c>
      <c r="I484" s="10"/>
      <c r="J484" s="10"/>
      <c r="K484" s="3"/>
    </row>
    <row r="485" spans="1:11" x14ac:dyDescent="0.25">
      <c r="A485" s="10">
        <v>624</v>
      </c>
      <c r="B485" s="4" t="s">
        <v>597</v>
      </c>
      <c r="C485" s="24" t="s">
        <v>150</v>
      </c>
      <c r="D485" s="10">
        <v>8084</v>
      </c>
      <c r="E485" s="10"/>
      <c r="F485" s="64" t="s">
        <v>558</v>
      </c>
      <c r="G485" s="10"/>
      <c r="H485" s="75">
        <v>40689</v>
      </c>
      <c r="I485" s="10"/>
      <c r="J485" s="10"/>
      <c r="K485" s="3"/>
    </row>
    <row r="486" spans="1:11" x14ac:dyDescent="0.25">
      <c r="A486" s="10">
        <v>625</v>
      </c>
      <c r="B486" s="4" t="s">
        <v>597</v>
      </c>
      <c r="C486" s="24" t="s">
        <v>151</v>
      </c>
      <c r="D486" s="10">
        <v>8084</v>
      </c>
      <c r="E486" s="10"/>
      <c r="F486" s="64" t="s">
        <v>558</v>
      </c>
      <c r="G486" s="10"/>
      <c r="H486" s="75">
        <v>40689</v>
      </c>
      <c r="I486" s="10"/>
      <c r="J486" s="10"/>
      <c r="K486" s="3"/>
    </row>
    <row r="487" spans="1:11" x14ac:dyDescent="0.25">
      <c r="A487" s="10">
        <v>626</v>
      </c>
      <c r="B487" s="4" t="s">
        <v>597</v>
      </c>
      <c r="C487" s="24" t="s">
        <v>152</v>
      </c>
      <c r="D487" s="10">
        <v>8084</v>
      </c>
      <c r="E487" s="10"/>
      <c r="F487" s="64" t="s">
        <v>558</v>
      </c>
      <c r="G487" s="10"/>
      <c r="H487" s="75">
        <v>40689</v>
      </c>
      <c r="I487" s="10"/>
      <c r="J487" s="10"/>
      <c r="K487" s="3"/>
    </row>
    <row r="488" spans="1:11" x14ac:dyDescent="0.25">
      <c r="A488" s="10">
        <v>627</v>
      </c>
      <c r="B488" s="4" t="s">
        <v>597</v>
      </c>
      <c r="C488" s="24" t="s">
        <v>153</v>
      </c>
      <c r="D488" s="10">
        <v>8084</v>
      </c>
      <c r="E488" s="10"/>
      <c r="F488" s="64" t="s">
        <v>558</v>
      </c>
      <c r="G488" s="10"/>
      <c r="H488" s="75">
        <v>40689</v>
      </c>
      <c r="I488" s="10"/>
      <c r="J488" s="10"/>
      <c r="K488" s="3"/>
    </row>
    <row r="489" spans="1:11" x14ac:dyDescent="0.25">
      <c r="A489" s="10">
        <v>628</v>
      </c>
      <c r="B489" s="4" t="s">
        <v>597</v>
      </c>
      <c r="C489" s="24" t="s">
        <v>155</v>
      </c>
      <c r="D489" s="10">
        <v>8084</v>
      </c>
      <c r="E489" s="10"/>
      <c r="F489" s="64" t="s">
        <v>490</v>
      </c>
      <c r="G489" s="10"/>
      <c r="H489" s="75">
        <v>40689</v>
      </c>
      <c r="I489" s="10"/>
      <c r="J489" s="10"/>
      <c r="K489" s="3"/>
    </row>
    <row r="490" spans="1:11" x14ac:dyDescent="0.25">
      <c r="A490" s="10">
        <v>629</v>
      </c>
      <c r="B490" s="4" t="s">
        <v>597</v>
      </c>
      <c r="C490" s="24" t="s">
        <v>156</v>
      </c>
      <c r="D490" s="10">
        <v>8084</v>
      </c>
      <c r="E490" s="10"/>
      <c r="F490" s="64" t="s">
        <v>490</v>
      </c>
      <c r="G490" s="10"/>
      <c r="H490" s="75">
        <v>40689</v>
      </c>
      <c r="I490" s="10"/>
      <c r="J490" s="10"/>
      <c r="K490" s="3"/>
    </row>
    <row r="491" spans="1:11" x14ac:dyDescent="0.25">
      <c r="A491" s="10">
        <v>630</v>
      </c>
      <c r="B491" s="4" t="s">
        <v>597</v>
      </c>
      <c r="C491" s="24" t="s">
        <v>162</v>
      </c>
      <c r="D491" s="10">
        <v>8084</v>
      </c>
      <c r="E491" s="10"/>
      <c r="F491" s="64" t="s">
        <v>558</v>
      </c>
      <c r="G491" s="10"/>
      <c r="H491" s="75">
        <v>40689</v>
      </c>
      <c r="I491" s="10"/>
      <c r="J491" s="10"/>
      <c r="K491" s="3"/>
    </row>
    <row r="492" spans="1:11" x14ac:dyDescent="0.25">
      <c r="A492" s="10">
        <v>631</v>
      </c>
      <c r="B492" s="4" t="s">
        <v>597</v>
      </c>
      <c r="C492" s="24" t="s">
        <v>158</v>
      </c>
      <c r="D492" s="10">
        <v>8084</v>
      </c>
      <c r="E492" s="10"/>
      <c r="F492" s="64" t="s">
        <v>558</v>
      </c>
      <c r="G492" s="10"/>
      <c r="H492" s="75">
        <v>40689</v>
      </c>
      <c r="I492" s="10"/>
      <c r="J492" s="10"/>
      <c r="K492" s="3"/>
    </row>
    <row r="493" spans="1:11" x14ac:dyDescent="0.25">
      <c r="A493" s="10">
        <v>632</v>
      </c>
      <c r="B493" s="4" t="s">
        <v>597</v>
      </c>
      <c r="C493" s="24" t="s">
        <v>161</v>
      </c>
      <c r="D493" s="10">
        <v>8084</v>
      </c>
      <c r="E493" s="10"/>
      <c r="F493" s="64" t="s">
        <v>558</v>
      </c>
      <c r="G493" s="10"/>
      <c r="H493" s="75">
        <v>40689</v>
      </c>
      <c r="I493" s="10"/>
      <c r="J493" s="10"/>
      <c r="K493" s="3"/>
    </row>
    <row r="494" spans="1:11" x14ac:dyDescent="0.25">
      <c r="A494" s="10">
        <v>633</v>
      </c>
      <c r="B494" s="4" t="s">
        <v>597</v>
      </c>
      <c r="C494" s="24" t="s">
        <v>157</v>
      </c>
      <c r="D494" s="10">
        <v>8084</v>
      </c>
      <c r="E494" s="10"/>
      <c r="F494" s="64" t="s">
        <v>558</v>
      </c>
      <c r="G494" s="10"/>
      <c r="H494" s="75">
        <v>40689</v>
      </c>
      <c r="I494" s="10"/>
      <c r="J494" s="10"/>
      <c r="K494" s="3"/>
    </row>
    <row r="495" spans="1:11" x14ac:dyDescent="0.25">
      <c r="A495" s="10">
        <v>634</v>
      </c>
      <c r="B495" s="4" t="s">
        <v>597</v>
      </c>
      <c r="C495" s="24" t="s">
        <v>154</v>
      </c>
      <c r="D495" s="10">
        <v>8084</v>
      </c>
      <c r="E495" s="10"/>
      <c r="F495" s="64" t="s">
        <v>558</v>
      </c>
      <c r="G495" s="10"/>
      <c r="H495" s="75">
        <v>40689</v>
      </c>
      <c r="I495" s="10"/>
      <c r="J495" s="10"/>
      <c r="K495" s="3"/>
    </row>
    <row r="496" spans="1:11" x14ac:dyDescent="0.25">
      <c r="A496" s="10">
        <v>635</v>
      </c>
      <c r="B496" s="4" t="s">
        <v>597</v>
      </c>
      <c r="C496" s="24" t="s">
        <v>159</v>
      </c>
      <c r="D496" s="10">
        <v>8084</v>
      </c>
      <c r="E496" s="10"/>
      <c r="F496" s="64" t="s">
        <v>558</v>
      </c>
      <c r="G496" s="10"/>
      <c r="H496" s="75">
        <v>40689</v>
      </c>
      <c r="I496" s="10"/>
      <c r="J496" s="10"/>
      <c r="K496" s="3"/>
    </row>
    <row r="497" spans="1:11" x14ac:dyDescent="0.25">
      <c r="A497" s="10">
        <v>636</v>
      </c>
      <c r="B497" s="4" t="s">
        <v>597</v>
      </c>
      <c r="C497" s="24" t="s">
        <v>160</v>
      </c>
      <c r="D497" s="10">
        <v>8084</v>
      </c>
      <c r="E497" s="10"/>
      <c r="F497" s="64" t="s">
        <v>490</v>
      </c>
      <c r="G497" s="10"/>
      <c r="H497" s="75">
        <v>40689</v>
      </c>
      <c r="I497" s="10"/>
      <c r="J497" s="10"/>
      <c r="K497" s="3"/>
    </row>
    <row r="498" spans="1:11" x14ac:dyDescent="0.25">
      <c r="A498" s="10">
        <v>637</v>
      </c>
      <c r="B498" s="4" t="s">
        <v>597</v>
      </c>
      <c r="C498" s="24" t="s">
        <v>166</v>
      </c>
      <c r="D498" s="10">
        <v>8071</v>
      </c>
      <c r="E498" s="10"/>
      <c r="F498" s="64" t="s">
        <v>560</v>
      </c>
      <c r="G498" s="10"/>
      <c r="H498" s="75">
        <v>40709</v>
      </c>
      <c r="I498" s="10"/>
      <c r="J498" s="10"/>
      <c r="K498" s="3"/>
    </row>
    <row r="499" spans="1:11" x14ac:dyDescent="0.25">
      <c r="A499" s="10">
        <v>638</v>
      </c>
      <c r="B499" s="4" t="s">
        <v>597</v>
      </c>
      <c r="C499" s="24" t="s">
        <v>167</v>
      </c>
      <c r="D499" s="10">
        <v>8071</v>
      </c>
      <c r="E499" s="10"/>
      <c r="F499" s="64" t="s">
        <v>560</v>
      </c>
      <c r="G499" s="10"/>
      <c r="H499" s="75">
        <v>40709</v>
      </c>
      <c r="I499" s="10"/>
      <c r="J499" s="10"/>
      <c r="K499" s="3"/>
    </row>
    <row r="500" spans="1:11" x14ac:dyDescent="0.25">
      <c r="A500" s="10">
        <v>639</v>
      </c>
      <c r="B500" s="4" t="s">
        <v>597</v>
      </c>
      <c r="C500" s="24" t="s">
        <v>173</v>
      </c>
      <c r="D500" s="10">
        <v>8099</v>
      </c>
      <c r="E500" s="10"/>
      <c r="F500" s="64" t="s">
        <v>558</v>
      </c>
      <c r="G500" s="10"/>
      <c r="H500" s="75">
        <v>40718</v>
      </c>
      <c r="I500" s="10"/>
      <c r="J500" s="10"/>
      <c r="K500" s="3"/>
    </row>
    <row r="501" spans="1:11" x14ac:dyDescent="0.25">
      <c r="A501" s="10">
        <v>640</v>
      </c>
      <c r="B501" s="4" t="s">
        <v>597</v>
      </c>
      <c r="C501" s="24" t="s">
        <v>172</v>
      </c>
      <c r="D501" s="10">
        <v>8099</v>
      </c>
      <c r="E501" s="10"/>
      <c r="F501" s="64" t="s">
        <v>558</v>
      </c>
      <c r="G501" s="10"/>
      <c r="H501" s="75">
        <v>40718</v>
      </c>
      <c r="I501" s="10"/>
      <c r="J501" s="10"/>
      <c r="K501" s="3"/>
    </row>
    <row r="502" spans="1:11" x14ac:dyDescent="0.25">
      <c r="A502" s="10">
        <v>641</v>
      </c>
      <c r="B502" s="4" t="s">
        <v>597</v>
      </c>
      <c r="C502" s="24" t="s">
        <v>171</v>
      </c>
      <c r="D502" s="10">
        <v>8099</v>
      </c>
      <c r="E502" s="10"/>
      <c r="F502" s="64" t="s">
        <v>558</v>
      </c>
      <c r="G502" s="10"/>
      <c r="H502" s="75">
        <v>40718</v>
      </c>
      <c r="I502" s="10"/>
      <c r="J502" s="10"/>
      <c r="K502" s="3"/>
    </row>
    <row r="503" spans="1:11" x14ac:dyDescent="0.25">
      <c r="A503" s="10">
        <v>642</v>
      </c>
      <c r="B503" s="4" t="s">
        <v>597</v>
      </c>
      <c r="C503" s="24" t="s">
        <v>169</v>
      </c>
      <c r="D503" s="10">
        <v>8099</v>
      </c>
      <c r="E503" s="10"/>
      <c r="F503" s="64" t="s">
        <v>558</v>
      </c>
      <c r="G503" s="10"/>
      <c r="H503" s="75">
        <v>40718</v>
      </c>
      <c r="I503" s="10"/>
      <c r="J503" s="10"/>
      <c r="K503" s="3"/>
    </row>
    <row r="504" spans="1:11" x14ac:dyDescent="0.25">
      <c r="A504" s="10">
        <v>643</v>
      </c>
      <c r="B504" s="4" t="s">
        <v>597</v>
      </c>
      <c r="C504" s="24" t="s">
        <v>170</v>
      </c>
      <c r="D504" s="10">
        <v>8099</v>
      </c>
      <c r="E504" s="10"/>
      <c r="F504" s="64" t="s">
        <v>558</v>
      </c>
      <c r="G504" s="10"/>
      <c r="H504" s="75">
        <v>40718</v>
      </c>
      <c r="I504" s="10"/>
      <c r="J504" s="10"/>
      <c r="K504" s="3"/>
    </row>
    <row r="505" spans="1:11" x14ac:dyDescent="0.25">
      <c r="A505" s="10">
        <v>644</v>
      </c>
      <c r="B505" s="4" t="s">
        <v>597</v>
      </c>
      <c r="C505" s="44" t="s">
        <v>211</v>
      </c>
      <c r="D505" s="10">
        <v>8076</v>
      </c>
      <c r="E505" s="10"/>
      <c r="F505" s="64" t="s">
        <v>558</v>
      </c>
      <c r="G505" s="10"/>
      <c r="H505" s="75">
        <v>40722</v>
      </c>
      <c r="I505" s="10"/>
      <c r="J505" s="10"/>
      <c r="K505" s="3"/>
    </row>
    <row r="506" spans="1:11" x14ac:dyDescent="0.25">
      <c r="A506" s="10">
        <v>645</v>
      </c>
      <c r="B506" s="4" t="s">
        <v>597</v>
      </c>
      <c r="C506" s="44" t="s">
        <v>210</v>
      </c>
      <c r="D506" s="10">
        <v>8076</v>
      </c>
      <c r="E506" s="10"/>
      <c r="F506" s="64" t="s">
        <v>558</v>
      </c>
      <c r="G506" s="10"/>
      <c r="H506" s="75">
        <v>40722</v>
      </c>
      <c r="I506" s="10"/>
      <c r="J506" s="10"/>
      <c r="K506" s="3"/>
    </row>
    <row r="507" spans="1:11" x14ac:dyDescent="0.25">
      <c r="A507" s="10">
        <v>646</v>
      </c>
      <c r="B507" s="4" t="s">
        <v>597</v>
      </c>
      <c r="C507" s="44" t="s">
        <v>206</v>
      </c>
      <c r="D507" s="10">
        <v>8076</v>
      </c>
      <c r="E507" s="10"/>
      <c r="F507" s="64" t="s">
        <v>558</v>
      </c>
      <c r="G507" s="10"/>
      <c r="H507" s="75">
        <v>40722</v>
      </c>
      <c r="I507" s="10"/>
      <c r="J507" s="10"/>
      <c r="K507" s="3"/>
    </row>
    <row r="508" spans="1:11" x14ac:dyDescent="0.25">
      <c r="A508" s="10">
        <v>647</v>
      </c>
      <c r="B508" s="4" t="s">
        <v>597</v>
      </c>
      <c r="C508" s="44" t="s">
        <v>209</v>
      </c>
      <c r="D508" s="10">
        <v>8076</v>
      </c>
      <c r="E508" s="10"/>
      <c r="F508" s="64" t="s">
        <v>558</v>
      </c>
      <c r="G508" s="10"/>
      <c r="H508" s="75">
        <v>40722</v>
      </c>
      <c r="I508" s="10"/>
      <c r="J508" s="10"/>
      <c r="K508" s="3"/>
    </row>
    <row r="509" spans="1:11" x14ac:dyDescent="0.25">
      <c r="A509" s="10" t="s">
        <v>119</v>
      </c>
      <c r="B509" s="4" t="s">
        <v>597</v>
      </c>
      <c r="C509" s="44" t="s">
        <v>207</v>
      </c>
      <c r="D509" s="10">
        <v>8076</v>
      </c>
      <c r="E509" s="10"/>
      <c r="F509" s="64" t="s">
        <v>558</v>
      </c>
      <c r="G509" s="10"/>
      <c r="H509" s="75">
        <v>40722</v>
      </c>
      <c r="I509" s="10"/>
      <c r="J509" s="10"/>
      <c r="K509" s="3"/>
    </row>
    <row r="510" spans="1:11" x14ac:dyDescent="0.25">
      <c r="A510" s="10">
        <v>648</v>
      </c>
      <c r="B510" s="4" t="s">
        <v>597</v>
      </c>
      <c r="C510" s="44" t="s">
        <v>208</v>
      </c>
      <c r="D510" s="10">
        <v>8076</v>
      </c>
      <c r="E510" s="10"/>
      <c r="F510" s="64" t="s">
        <v>558</v>
      </c>
      <c r="G510" s="10"/>
      <c r="H510" s="75">
        <v>40722</v>
      </c>
      <c r="I510" s="10"/>
      <c r="J510" s="10"/>
      <c r="K510" s="3"/>
    </row>
    <row r="511" spans="1:11" x14ac:dyDescent="0.25">
      <c r="A511" s="10">
        <v>649</v>
      </c>
      <c r="B511" s="4" t="s">
        <v>597</v>
      </c>
      <c r="C511" s="44" t="s">
        <v>205</v>
      </c>
      <c r="D511" s="10">
        <v>8076</v>
      </c>
      <c r="E511" s="10"/>
      <c r="F511" s="64" t="s">
        <v>558</v>
      </c>
      <c r="G511" s="10"/>
      <c r="H511" s="75">
        <v>40722</v>
      </c>
      <c r="I511" s="10"/>
      <c r="J511" s="10"/>
      <c r="K511" s="3"/>
    </row>
    <row r="512" spans="1:11" x14ac:dyDescent="0.25">
      <c r="A512" s="10">
        <v>650</v>
      </c>
      <c r="B512" s="4" t="s">
        <v>597</v>
      </c>
      <c r="C512" s="44" t="s">
        <v>203</v>
      </c>
      <c r="D512" s="10">
        <v>8076</v>
      </c>
      <c r="E512" s="10"/>
      <c r="F512" s="64" t="s">
        <v>558</v>
      </c>
      <c r="G512" s="10"/>
      <c r="H512" s="75">
        <v>40722</v>
      </c>
      <c r="I512" s="10"/>
      <c r="J512" s="10"/>
      <c r="K512" s="3"/>
    </row>
    <row r="513" spans="1:11" x14ac:dyDescent="0.25">
      <c r="A513" s="10">
        <v>651</v>
      </c>
      <c r="B513" s="4" t="s">
        <v>597</v>
      </c>
      <c r="C513" s="23" t="s">
        <v>207</v>
      </c>
      <c r="D513" s="10">
        <v>8076</v>
      </c>
      <c r="E513" s="10"/>
      <c r="F513" s="64" t="s">
        <v>558</v>
      </c>
      <c r="G513" s="10"/>
      <c r="H513" s="75">
        <v>40722</v>
      </c>
      <c r="I513" s="10"/>
      <c r="J513" s="10"/>
      <c r="K513" s="3"/>
    </row>
    <row r="514" spans="1:11" x14ac:dyDescent="0.25">
      <c r="A514" s="10">
        <v>652</v>
      </c>
      <c r="B514" s="4" t="s">
        <v>597</v>
      </c>
      <c r="C514" s="44" t="s">
        <v>204</v>
      </c>
      <c r="D514" s="10">
        <v>8076</v>
      </c>
      <c r="E514" s="10"/>
      <c r="F514" s="64" t="s">
        <v>558</v>
      </c>
      <c r="G514" s="10"/>
      <c r="H514" s="75">
        <v>40722</v>
      </c>
      <c r="I514" s="10"/>
      <c r="J514" s="10"/>
      <c r="K514" s="3"/>
    </row>
    <row r="515" spans="1:11" x14ac:dyDescent="0.25">
      <c r="A515" s="12">
        <v>653</v>
      </c>
      <c r="B515" s="4" t="s">
        <v>597</v>
      </c>
      <c r="C515" s="24" t="s">
        <v>196</v>
      </c>
      <c r="D515" s="10" t="s">
        <v>212</v>
      </c>
      <c r="E515" s="10"/>
      <c r="F515" s="64" t="s">
        <v>558</v>
      </c>
      <c r="G515" s="10"/>
      <c r="H515" s="75">
        <v>40752</v>
      </c>
      <c r="I515" s="10"/>
      <c r="J515" s="10"/>
      <c r="K515" s="3"/>
    </row>
    <row r="516" spans="1:11" x14ac:dyDescent="0.25">
      <c r="A516" s="12">
        <v>654</v>
      </c>
      <c r="B516" s="4" t="s">
        <v>597</v>
      </c>
      <c r="C516" s="24" t="s">
        <v>197</v>
      </c>
      <c r="D516" s="37" t="s">
        <v>109</v>
      </c>
      <c r="E516" s="10"/>
      <c r="F516" s="64" t="s">
        <v>558</v>
      </c>
      <c r="G516" s="10"/>
      <c r="H516" s="75">
        <v>40752</v>
      </c>
      <c r="I516" s="10"/>
      <c r="J516" s="10"/>
      <c r="K516" s="3"/>
    </row>
    <row r="517" spans="1:11" x14ac:dyDescent="0.25">
      <c r="A517" s="12">
        <v>655</v>
      </c>
      <c r="B517" s="4" t="s">
        <v>597</v>
      </c>
      <c r="C517" s="24" t="s">
        <v>198</v>
      </c>
      <c r="D517" s="37" t="s">
        <v>109</v>
      </c>
      <c r="E517" s="10"/>
      <c r="F517" s="64" t="s">
        <v>558</v>
      </c>
      <c r="G517" s="10"/>
      <c r="H517" s="75">
        <v>40752</v>
      </c>
      <c r="I517" s="10"/>
      <c r="J517" s="10"/>
      <c r="K517" s="3"/>
    </row>
    <row r="518" spans="1:11" x14ac:dyDescent="0.25">
      <c r="A518" s="12">
        <v>656</v>
      </c>
      <c r="B518" s="4" t="s">
        <v>597</v>
      </c>
      <c r="C518" s="24" t="s">
        <v>199</v>
      </c>
      <c r="D518" s="37" t="s">
        <v>109</v>
      </c>
      <c r="E518" s="10"/>
      <c r="F518" s="64" t="s">
        <v>558</v>
      </c>
      <c r="G518" s="10"/>
      <c r="H518" s="75">
        <v>40752</v>
      </c>
      <c r="I518" s="10"/>
      <c r="J518" s="10"/>
      <c r="K518" s="3"/>
    </row>
    <row r="519" spans="1:11" x14ac:dyDescent="0.25">
      <c r="A519" s="12">
        <v>657</v>
      </c>
      <c r="B519" s="4" t="s">
        <v>597</v>
      </c>
      <c r="C519" s="24" t="s">
        <v>200</v>
      </c>
      <c r="D519" s="37" t="s">
        <v>109</v>
      </c>
      <c r="E519" s="10"/>
      <c r="F519" s="64" t="s">
        <v>558</v>
      </c>
      <c r="G519" s="10"/>
      <c r="H519" s="75">
        <v>40752</v>
      </c>
      <c r="I519" s="10"/>
      <c r="J519" s="10"/>
      <c r="K519" s="3"/>
    </row>
    <row r="520" spans="1:11" x14ac:dyDescent="0.25">
      <c r="A520" s="12">
        <v>658</v>
      </c>
      <c r="B520" s="4" t="s">
        <v>597</v>
      </c>
      <c r="C520" s="24" t="s">
        <v>201</v>
      </c>
      <c r="D520" s="37" t="s">
        <v>109</v>
      </c>
      <c r="E520" s="10"/>
      <c r="F520" s="64" t="s">
        <v>558</v>
      </c>
      <c r="G520" s="10"/>
      <c r="H520" s="75">
        <v>40752</v>
      </c>
      <c r="I520" s="10"/>
      <c r="J520" s="10"/>
      <c r="K520" s="3"/>
    </row>
    <row r="521" spans="1:11" x14ac:dyDescent="0.25">
      <c r="A521" s="12">
        <v>659</v>
      </c>
      <c r="B521" s="4" t="s">
        <v>597</v>
      </c>
      <c r="C521" s="24" t="s">
        <v>202</v>
      </c>
      <c r="D521" s="37" t="s">
        <v>109</v>
      </c>
      <c r="E521" s="10"/>
      <c r="F521" s="64" t="s">
        <v>558</v>
      </c>
      <c r="G521" s="10"/>
      <c r="H521" s="75">
        <v>40752</v>
      </c>
      <c r="I521" s="10"/>
      <c r="J521" s="10"/>
      <c r="K521" s="3"/>
    </row>
    <row r="522" spans="1:11" x14ac:dyDescent="0.25">
      <c r="A522" s="12">
        <v>660</v>
      </c>
      <c r="B522" s="4" t="s">
        <v>597</v>
      </c>
      <c r="C522" s="45" t="s">
        <v>110</v>
      </c>
      <c r="D522" s="37" t="s">
        <v>109</v>
      </c>
      <c r="E522" s="10"/>
      <c r="F522" s="64" t="s">
        <v>558</v>
      </c>
      <c r="G522" s="10"/>
      <c r="H522" s="75">
        <v>40752</v>
      </c>
      <c r="I522" s="10"/>
      <c r="J522" s="10"/>
      <c r="K522" s="3"/>
    </row>
    <row r="523" spans="1:11" x14ac:dyDescent="0.25">
      <c r="A523" s="12">
        <v>661</v>
      </c>
      <c r="B523" s="4" t="s">
        <v>597</v>
      </c>
      <c r="C523" s="45" t="s">
        <v>111</v>
      </c>
      <c r="D523" s="37" t="s">
        <v>109</v>
      </c>
      <c r="E523" s="10"/>
      <c r="F523" s="64" t="s">
        <v>558</v>
      </c>
      <c r="G523" s="10"/>
      <c r="H523" s="75">
        <v>40752</v>
      </c>
      <c r="I523" s="10"/>
      <c r="J523" s="10"/>
      <c r="K523" s="3"/>
    </row>
    <row r="524" spans="1:11" x14ac:dyDescent="0.25">
      <c r="A524" s="12">
        <v>662</v>
      </c>
      <c r="B524" s="4" t="s">
        <v>597</v>
      </c>
      <c r="C524" s="45" t="s">
        <v>112</v>
      </c>
      <c r="D524" s="37" t="s">
        <v>109</v>
      </c>
      <c r="E524" s="10"/>
      <c r="F524" s="64" t="s">
        <v>558</v>
      </c>
      <c r="G524" s="10"/>
      <c r="H524" s="75">
        <v>40752</v>
      </c>
      <c r="I524" s="10"/>
      <c r="J524" s="10"/>
      <c r="K524" s="3"/>
    </row>
    <row r="525" spans="1:11" x14ac:dyDescent="0.25">
      <c r="A525" s="12">
        <v>663</v>
      </c>
      <c r="B525" s="4" t="s">
        <v>597</v>
      </c>
      <c r="C525" s="45" t="s">
        <v>113</v>
      </c>
      <c r="D525" s="37" t="s">
        <v>109</v>
      </c>
      <c r="E525" s="10"/>
      <c r="F525" s="64" t="s">
        <v>558</v>
      </c>
      <c r="G525" s="10"/>
      <c r="H525" s="75">
        <v>40752</v>
      </c>
      <c r="I525" s="10"/>
      <c r="J525" s="10"/>
      <c r="K525" s="3"/>
    </row>
    <row r="526" spans="1:11" x14ac:dyDescent="0.25">
      <c r="A526" s="12">
        <v>664</v>
      </c>
      <c r="B526" s="4" t="s">
        <v>597</v>
      </c>
      <c r="C526" s="45" t="s">
        <v>114</v>
      </c>
      <c r="D526" s="37"/>
      <c r="E526" s="10"/>
      <c r="F526" s="64" t="s">
        <v>558</v>
      </c>
      <c r="G526" s="10"/>
      <c r="H526" s="75">
        <v>40752</v>
      </c>
      <c r="I526" s="10"/>
      <c r="J526" s="10"/>
      <c r="K526" s="3"/>
    </row>
    <row r="527" spans="1:11" x14ac:dyDescent="0.25">
      <c r="A527" s="12">
        <v>665</v>
      </c>
      <c r="B527" s="4" t="s">
        <v>597</v>
      </c>
      <c r="C527" s="45" t="s">
        <v>115</v>
      </c>
      <c r="D527" s="37" t="s">
        <v>109</v>
      </c>
      <c r="E527" s="10"/>
      <c r="F527" s="64" t="s">
        <v>558</v>
      </c>
      <c r="G527" s="10"/>
      <c r="H527" s="75">
        <v>40752</v>
      </c>
      <c r="I527" s="10"/>
      <c r="J527" s="10"/>
      <c r="K527" s="3"/>
    </row>
    <row r="528" spans="1:11" x14ac:dyDescent="0.25">
      <c r="A528" s="12">
        <v>666</v>
      </c>
      <c r="B528" s="4" t="s">
        <v>597</v>
      </c>
      <c r="C528" s="45" t="s">
        <v>116</v>
      </c>
      <c r="D528" s="37" t="s">
        <v>109</v>
      </c>
      <c r="E528" s="10"/>
      <c r="F528" s="64" t="s">
        <v>558</v>
      </c>
      <c r="G528" s="10"/>
      <c r="H528" s="75">
        <v>40752</v>
      </c>
      <c r="I528" s="10"/>
      <c r="J528" s="10"/>
      <c r="K528" s="3"/>
    </row>
    <row r="529" spans="1:11" x14ac:dyDescent="0.25">
      <c r="A529" s="10">
        <v>667</v>
      </c>
      <c r="B529" s="4" t="s">
        <v>597</v>
      </c>
      <c r="C529" s="45" t="s">
        <v>117</v>
      </c>
      <c r="D529" s="10" t="s">
        <v>185</v>
      </c>
      <c r="E529" s="10"/>
      <c r="F529" s="64" t="s">
        <v>561</v>
      </c>
      <c r="G529" s="10"/>
      <c r="H529" s="75">
        <v>40752</v>
      </c>
      <c r="I529" s="10"/>
      <c r="J529" s="10"/>
      <c r="K529" s="3"/>
    </row>
    <row r="530" spans="1:11" x14ac:dyDescent="0.25">
      <c r="A530" s="10">
        <v>668</v>
      </c>
      <c r="B530" s="4" t="s">
        <v>597</v>
      </c>
      <c r="C530" s="24" t="s">
        <v>184</v>
      </c>
      <c r="D530" s="10" t="s">
        <v>185</v>
      </c>
      <c r="E530" s="10"/>
      <c r="F530" s="64" t="s">
        <v>561</v>
      </c>
      <c r="G530" s="10"/>
      <c r="H530" s="75">
        <v>40752</v>
      </c>
      <c r="I530" s="10"/>
      <c r="J530" s="10"/>
      <c r="K530" s="3"/>
    </row>
    <row r="531" spans="1:11" x14ac:dyDescent="0.25">
      <c r="A531" s="10">
        <v>669</v>
      </c>
      <c r="B531" s="4" t="s">
        <v>597</v>
      </c>
      <c r="C531" s="26" t="s">
        <v>118</v>
      </c>
      <c r="D531" s="10" t="s">
        <v>109</v>
      </c>
      <c r="E531" s="10"/>
      <c r="F531" s="64" t="s">
        <v>558</v>
      </c>
      <c r="G531" s="10"/>
      <c r="H531" s="92">
        <v>40752</v>
      </c>
      <c r="I531" s="10"/>
      <c r="J531" s="10"/>
      <c r="K531" s="3"/>
    </row>
    <row r="532" spans="1:11" x14ac:dyDescent="0.25">
      <c r="A532" s="10">
        <v>670</v>
      </c>
      <c r="B532" s="4" t="s">
        <v>597</v>
      </c>
      <c r="C532" s="26" t="s">
        <v>36</v>
      </c>
      <c r="D532" s="10">
        <v>8102</v>
      </c>
      <c r="E532" s="10"/>
      <c r="F532" s="64" t="s">
        <v>558</v>
      </c>
      <c r="G532" s="10"/>
      <c r="H532" s="75">
        <v>40766</v>
      </c>
      <c r="I532" s="10"/>
      <c r="J532" s="10"/>
      <c r="K532" s="3"/>
    </row>
    <row r="533" spans="1:11" x14ac:dyDescent="0.25">
      <c r="A533" s="10">
        <v>671</v>
      </c>
      <c r="B533" s="4" t="s">
        <v>597</v>
      </c>
      <c r="C533" s="26" t="s">
        <v>37</v>
      </c>
      <c r="D533" s="10">
        <v>8102</v>
      </c>
      <c r="E533" s="10"/>
      <c r="F533" s="64" t="s">
        <v>558</v>
      </c>
      <c r="G533" s="10"/>
      <c r="H533" s="75">
        <v>40766</v>
      </c>
      <c r="I533" s="10"/>
      <c r="J533" s="10"/>
      <c r="K533" s="3"/>
    </row>
    <row r="534" spans="1:11" x14ac:dyDescent="0.25">
      <c r="A534" s="10">
        <v>672</v>
      </c>
      <c r="B534" s="4" t="s">
        <v>597</v>
      </c>
      <c r="C534" s="26" t="s">
        <v>38</v>
      </c>
      <c r="D534" s="10">
        <v>8102</v>
      </c>
      <c r="E534" s="10"/>
      <c r="F534" s="64" t="s">
        <v>558</v>
      </c>
      <c r="G534" s="10"/>
      <c r="H534" s="75">
        <v>40766</v>
      </c>
      <c r="I534" s="10"/>
      <c r="J534" s="10"/>
      <c r="K534" s="3"/>
    </row>
    <row r="535" spans="1:11" x14ac:dyDescent="0.25">
      <c r="A535" s="10">
        <v>673</v>
      </c>
      <c r="B535" s="4" t="s">
        <v>597</v>
      </c>
      <c r="C535" s="26" t="s">
        <v>154</v>
      </c>
      <c r="D535" s="10">
        <v>8102</v>
      </c>
      <c r="E535" s="10"/>
      <c r="F535" s="64" t="s">
        <v>487</v>
      </c>
      <c r="G535" s="10"/>
      <c r="H535" s="75">
        <v>40766</v>
      </c>
      <c r="I535" s="10"/>
      <c r="J535" s="10"/>
      <c r="K535" s="3"/>
    </row>
    <row r="536" spans="1:11" x14ac:dyDescent="0.25">
      <c r="A536" s="10">
        <v>674</v>
      </c>
      <c r="B536" s="4" t="s">
        <v>597</v>
      </c>
      <c r="C536" s="26" t="s">
        <v>39</v>
      </c>
      <c r="D536" s="10">
        <v>8102</v>
      </c>
      <c r="E536" s="10"/>
      <c r="F536" s="64" t="s">
        <v>558</v>
      </c>
      <c r="G536" s="10"/>
      <c r="H536" s="75">
        <v>40766</v>
      </c>
      <c r="I536" s="10"/>
      <c r="J536" s="10"/>
      <c r="K536" s="3"/>
    </row>
    <row r="537" spans="1:11" x14ac:dyDescent="0.25">
      <c r="A537" s="10">
        <v>675</v>
      </c>
      <c r="B537" s="4" t="s">
        <v>597</v>
      </c>
      <c r="C537" s="26" t="s">
        <v>40</v>
      </c>
      <c r="D537" s="10">
        <v>8102</v>
      </c>
      <c r="E537" s="10"/>
      <c r="F537" s="64" t="s">
        <v>559</v>
      </c>
      <c r="G537" s="10"/>
      <c r="H537" s="75">
        <v>40766</v>
      </c>
      <c r="I537" s="10"/>
      <c r="J537" s="10"/>
      <c r="K537" s="3"/>
    </row>
    <row r="538" spans="1:11" x14ac:dyDescent="0.25">
      <c r="A538" s="63">
        <v>676</v>
      </c>
      <c r="B538" s="48" t="s">
        <v>597</v>
      </c>
      <c r="C538" s="46" t="s">
        <v>41</v>
      </c>
      <c r="D538" s="47">
        <v>8102</v>
      </c>
      <c r="E538" s="47"/>
      <c r="F538" s="87" t="s">
        <v>482</v>
      </c>
      <c r="G538" s="10"/>
      <c r="H538" s="95">
        <v>40766</v>
      </c>
      <c r="I538" s="10"/>
      <c r="J538" s="10"/>
      <c r="K538" s="3"/>
    </row>
    <row r="539" spans="1:11" x14ac:dyDescent="0.25">
      <c r="A539" s="63">
        <v>677</v>
      </c>
      <c r="B539" s="48" t="s">
        <v>597</v>
      </c>
      <c r="C539" s="46" t="s">
        <v>42</v>
      </c>
      <c r="D539" s="47">
        <v>8102</v>
      </c>
      <c r="E539" s="47"/>
      <c r="F539" s="87" t="s">
        <v>482</v>
      </c>
      <c r="G539" s="10"/>
      <c r="H539" s="95">
        <v>40766</v>
      </c>
      <c r="I539" s="10"/>
      <c r="J539" s="10"/>
      <c r="K539" s="3"/>
    </row>
    <row r="540" spans="1:11" x14ac:dyDescent="0.25">
      <c r="A540" s="10">
        <v>678</v>
      </c>
      <c r="B540" s="4" t="s">
        <v>597</v>
      </c>
      <c r="C540" s="26" t="s">
        <v>43</v>
      </c>
      <c r="D540" s="10">
        <v>8102</v>
      </c>
      <c r="E540" s="10"/>
      <c r="F540" s="64" t="s">
        <v>559</v>
      </c>
      <c r="G540" s="10"/>
      <c r="H540" s="75">
        <v>40766</v>
      </c>
      <c r="I540" s="10"/>
      <c r="J540" s="10"/>
      <c r="K540" s="3"/>
    </row>
    <row r="541" spans="1:11" x14ac:dyDescent="0.25">
      <c r="A541" s="10">
        <v>679</v>
      </c>
      <c r="B541" s="4" t="s">
        <v>597</v>
      </c>
      <c r="C541" s="24" t="s">
        <v>44</v>
      </c>
      <c r="D541" s="10">
        <v>8102</v>
      </c>
      <c r="E541" s="10"/>
      <c r="F541" s="64" t="s">
        <v>559</v>
      </c>
      <c r="G541" s="10"/>
      <c r="H541" s="75">
        <v>40766</v>
      </c>
      <c r="I541" s="10"/>
      <c r="J541" s="10"/>
      <c r="K541" s="3"/>
    </row>
    <row r="542" spans="1:11" x14ac:dyDescent="0.25">
      <c r="A542" s="10">
        <v>680</v>
      </c>
      <c r="B542" s="4" t="s">
        <v>597</v>
      </c>
      <c r="C542" s="45" t="s">
        <v>187</v>
      </c>
      <c r="D542" s="10" t="s">
        <v>31</v>
      </c>
      <c r="E542" s="10"/>
      <c r="F542" s="64" t="s">
        <v>490</v>
      </c>
      <c r="G542" s="10"/>
      <c r="H542" s="75">
        <v>40774</v>
      </c>
      <c r="I542" s="10"/>
      <c r="J542" s="10"/>
      <c r="K542" s="3"/>
    </row>
    <row r="543" spans="1:11" x14ac:dyDescent="0.25">
      <c r="A543" s="10">
        <v>681</v>
      </c>
      <c r="B543" s="4" t="s">
        <v>596</v>
      </c>
      <c r="C543" s="24" t="s">
        <v>695</v>
      </c>
      <c r="D543" s="10" t="s">
        <v>694</v>
      </c>
      <c r="E543" s="10"/>
      <c r="F543" s="64" t="s">
        <v>27</v>
      </c>
      <c r="G543" s="10"/>
      <c r="H543" s="75">
        <v>40778</v>
      </c>
      <c r="I543" s="10"/>
      <c r="J543" s="10"/>
      <c r="K543" s="3"/>
    </row>
    <row r="544" spans="1:11" x14ac:dyDescent="0.25">
      <c r="A544" s="10">
        <v>682</v>
      </c>
      <c r="B544" s="4" t="s">
        <v>596</v>
      </c>
      <c r="C544" s="24" t="s">
        <v>696</v>
      </c>
      <c r="D544" s="10" t="s">
        <v>694</v>
      </c>
      <c r="E544" s="10"/>
      <c r="F544" s="64" t="s">
        <v>27</v>
      </c>
      <c r="G544" s="10"/>
      <c r="H544" s="75">
        <v>40778</v>
      </c>
      <c r="I544" s="10"/>
      <c r="J544" s="10"/>
      <c r="K544" s="3"/>
    </row>
    <row r="545" spans="1:11" x14ac:dyDescent="0.25">
      <c r="A545" s="10">
        <v>683</v>
      </c>
      <c r="B545" s="33" t="s">
        <v>596</v>
      </c>
      <c r="C545" s="45" t="s">
        <v>698</v>
      </c>
      <c r="D545" s="10">
        <v>8102</v>
      </c>
      <c r="E545" s="10"/>
      <c r="F545" s="60" t="s">
        <v>27</v>
      </c>
      <c r="G545" s="10"/>
      <c r="H545" s="75">
        <v>40786</v>
      </c>
      <c r="I545" s="10"/>
      <c r="J545" s="10"/>
      <c r="K545" s="3"/>
    </row>
    <row r="546" spans="1:11" x14ac:dyDescent="0.25">
      <c r="A546" s="10">
        <v>684</v>
      </c>
      <c r="B546" s="4" t="s">
        <v>597</v>
      </c>
      <c r="C546" s="24" t="s">
        <v>1</v>
      </c>
      <c r="D546" s="10">
        <v>8116</v>
      </c>
      <c r="E546" s="10"/>
      <c r="F546" s="64" t="s">
        <v>558</v>
      </c>
      <c r="G546" s="10"/>
      <c r="H546" s="75">
        <v>40813</v>
      </c>
      <c r="I546" s="10"/>
      <c r="J546" s="10"/>
      <c r="K546" s="3"/>
    </row>
    <row r="547" spans="1:11" x14ac:dyDescent="0.25">
      <c r="A547" s="10">
        <v>685</v>
      </c>
      <c r="B547" s="33" t="s">
        <v>596</v>
      </c>
      <c r="C547" s="24" t="s">
        <v>191</v>
      </c>
      <c r="D547" s="10">
        <v>8116</v>
      </c>
      <c r="E547" s="10"/>
      <c r="F547" s="60" t="s">
        <v>27</v>
      </c>
      <c r="G547" s="10"/>
      <c r="H547" s="75">
        <v>40813</v>
      </c>
      <c r="I547" s="10"/>
      <c r="J547" s="10"/>
      <c r="K547" s="3"/>
    </row>
    <row r="548" spans="1:11" x14ac:dyDescent="0.25">
      <c r="A548" s="10">
        <v>686</v>
      </c>
      <c r="B548" s="4" t="s">
        <v>597</v>
      </c>
      <c r="C548" s="24" t="s">
        <v>192</v>
      </c>
      <c r="D548" s="10">
        <v>8116</v>
      </c>
      <c r="E548" s="10"/>
      <c r="F548" s="64" t="s">
        <v>558</v>
      </c>
      <c r="G548" s="10"/>
      <c r="H548" s="75">
        <v>40813</v>
      </c>
      <c r="I548" s="10"/>
      <c r="J548" s="10"/>
      <c r="K548" s="3"/>
    </row>
    <row r="549" spans="1:11" x14ac:dyDescent="0.25">
      <c r="A549" s="13">
        <v>687</v>
      </c>
      <c r="B549" s="4" t="s">
        <v>597</v>
      </c>
      <c r="C549" s="24" t="s">
        <v>193</v>
      </c>
      <c r="D549" s="10">
        <v>8116</v>
      </c>
      <c r="E549" s="10"/>
      <c r="F549" s="64" t="s">
        <v>558</v>
      </c>
      <c r="G549" s="10"/>
      <c r="H549" s="75">
        <v>40813</v>
      </c>
      <c r="I549" s="10"/>
      <c r="J549" s="10"/>
      <c r="K549" s="3"/>
    </row>
    <row r="550" spans="1:11" x14ac:dyDescent="0.25">
      <c r="A550" s="10">
        <v>688</v>
      </c>
      <c r="B550" s="4" t="s">
        <v>597</v>
      </c>
      <c r="C550" s="24" t="s">
        <v>188</v>
      </c>
      <c r="D550" s="10">
        <v>8124</v>
      </c>
      <c r="E550" s="10"/>
      <c r="F550" s="64" t="s">
        <v>558</v>
      </c>
      <c r="G550" s="10"/>
      <c r="H550" s="75">
        <v>40827</v>
      </c>
      <c r="I550" s="10"/>
      <c r="J550" s="10"/>
      <c r="K550" s="3"/>
    </row>
    <row r="551" spans="1:11" x14ac:dyDescent="0.25">
      <c r="A551" s="10">
        <v>689</v>
      </c>
      <c r="B551" s="4" t="s">
        <v>597</v>
      </c>
      <c r="C551" s="24" t="s">
        <v>189</v>
      </c>
      <c r="D551" s="10">
        <v>8124</v>
      </c>
      <c r="E551" s="10"/>
      <c r="F551" s="64" t="s">
        <v>558</v>
      </c>
      <c r="G551" s="10"/>
      <c r="H551" s="75">
        <v>40827</v>
      </c>
      <c r="I551" s="10"/>
      <c r="J551" s="10"/>
      <c r="K551" s="3"/>
    </row>
    <row r="552" spans="1:11" x14ac:dyDescent="0.25">
      <c r="A552" s="10">
        <v>690</v>
      </c>
      <c r="B552" s="4" t="s">
        <v>597</v>
      </c>
      <c r="C552" s="24" t="s">
        <v>190</v>
      </c>
      <c r="D552" s="10">
        <v>8124</v>
      </c>
      <c r="E552" s="10"/>
      <c r="F552" s="64" t="s">
        <v>558</v>
      </c>
      <c r="G552" s="10"/>
      <c r="H552" s="75">
        <v>40827</v>
      </c>
      <c r="I552" s="10"/>
      <c r="J552" s="10"/>
      <c r="K552" s="3"/>
    </row>
    <row r="553" spans="1:11" x14ac:dyDescent="0.25">
      <c r="A553" s="10">
        <v>691</v>
      </c>
      <c r="B553" s="4" t="s">
        <v>597</v>
      </c>
      <c r="C553" s="24" t="s">
        <v>174</v>
      </c>
      <c r="D553" s="10">
        <v>8100</v>
      </c>
      <c r="E553" s="10"/>
      <c r="F553" s="64" t="s">
        <v>559</v>
      </c>
      <c r="G553" s="10"/>
      <c r="H553" s="75">
        <v>40833</v>
      </c>
      <c r="I553" s="10"/>
      <c r="J553" s="10"/>
      <c r="K553" s="3"/>
    </row>
    <row r="554" spans="1:11" x14ac:dyDescent="0.25">
      <c r="A554" s="10">
        <v>692</v>
      </c>
      <c r="B554" s="4" t="s">
        <v>597</v>
      </c>
      <c r="C554" s="24" t="s">
        <v>175</v>
      </c>
      <c r="D554" s="10">
        <v>8100</v>
      </c>
      <c r="E554" s="10"/>
      <c r="F554" s="64" t="s">
        <v>559</v>
      </c>
      <c r="G554" s="10"/>
      <c r="H554" s="75">
        <v>40833</v>
      </c>
      <c r="I554" s="10"/>
      <c r="J554" s="10"/>
      <c r="K554" s="3"/>
    </row>
    <row r="555" spans="1:11" x14ac:dyDescent="0.25">
      <c r="A555" s="10">
        <v>693</v>
      </c>
      <c r="B555" s="4" t="s">
        <v>597</v>
      </c>
      <c r="C555" s="24" t="s">
        <v>186</v>
      </c>
      <c r="D555" s="10">
        <v>8100</v>
      </c>
      <c r="E555" s="10"/>
      <c r="F555" s="64" t="s">
        <v>559</v>
      </c>
      <c r="G555" s="10"/>
      <c r="H555" s="75">
        <v>40833</v>
      </c>
      <c r="I555" s="10"/>
      <c r="J555" s="10"/>
      <c r="K555" s="3"/>
    </row>
    <row r="556" spans="1:11" x14ac:dyDescent="0.25">
      <c r="A556" s="10">
        <v>694</v>
      </c>
      <c r="B556" s="4" t="s">
        <v>597</v>
      </c>
      <c r="C556" s="24" t="s">
        <v>176</v>
      </c>
      <c r="D556" s="10">
        <v>8100</v>
      </c>
      <c r="E556" s="10"/>
      <c r="F556" s="64" t="s">
        <v>559</v>
      </c>
      <c r="G556" s="10"/>
      <c r="H556" s="75">
        <v>40833</v>
      </c>
      <c r="I556" s="10"/>
      <c r="J556" s="10"/>
      <c r="K556" s="3"/>
    </row>
    <row r="557" spans="1:11" x14ac:dyDescent="0.25">
      <c r="A557" s="10">
        <v>695</v>
      </c>
      <c r="B557" s="4" t="s">
        <v>597</v>
      </c>
      <c r="C557" s="24" t="s">
        <v>177</v>
      </c>
      <c r="D557" s="10" t="s">
        <v>50</v>
      </c>
      <c r="E557" s="10"/>
      <c r="F557" s="64" t="s">
        <v>561</v>
      </c>
      <c r="G557" s="10"/>
      <c r="H557" s="75">
        <v>40833</v>
      </c>
      <c r="I557" s="10"/>
      <c r="J557" s="10"/>
      <c r="K557" s="3"/>
    </row>
    <row r="558" spans="1:11" x14ac:dyDescent="0.25">
      <c r="A558" s="10">
        <v>696</v>
      </c>
      <c r="B558" s="4" t="s">
        <v>597</v>
      </c>
      <c r="C558" s="24" t="s">
        <v>178</v>
      </c>
      <c r="D558" s="10" t="s">
        <v>50</v>
      </c>
      <c r="E558" s="10"/>
      <c r="F558" s="64" t="s">
        <v>561</v>
      </c>
      <c r="G558" s="10"/>
      <c r="H558" s="75">
        <v>40833</v>
      </c>
      <c r="I558" s="10"/>
      <c r="J558" s="10"/>
      <c r="K558" s="3"/>
    </row>
    <row r="559" spans="1:11" x14ac:dyDescent="0.25">
      <c r="A559" s="39">
        <v>697</v>
      </c>
      <c r="B559" s="4" t="s">
        <v>597</v>
      </c>
      <c r="C559" s="44" t="s">
        <v>13</v>
      </c>
      <c r="D559" s="39">
        <v>8111</v>
      </c>
      <c r="E559" s="39"/>
      <c r="F559" s="88" t="s">
        <v>560</v>
      </c>
      <c r="G559" s="76"/>
      <c r="H559" s="96">
        <v>40834</v>
      </c>
      <c r="I559" s="10"/>
      <c r="J559" s="10"/>
      <c r="K559" s="3"/>
    </row>
    <row r="560" spans="1:11" x14ac:dyDescent="0.25">
      <c r="A560" s="10">
        <v>698</v>
      </c>
      <c r="B560" s="4" t="s">
        <v>596</v>
      </c>
      <c r="C560" s="24" t="s">
        <v>12</v>
      </c>
      <c r="D560" s="10">
        <v>8124</v>
      </c>
      <c r="E560" s="10"/>
      <c r="F560" s="64" t="s">
        <v>27</v>
      </c>
      <c r="G560" s="10"/>
      <c r="H560" s="75">
        <v>40827</v>
      </c>
      <c r="I560" s="10"/>
      <c r="J560" s="10"/>
      <c r="K560" s="3"/>
    </row>
    <row r="561" spans="1:11" x14ac:dyDescent="0.25">
      <c r="A561" s="10">
        <v>699</v>
      </c>
      <c r="B561" s="4" t="s">
        <v>597</v>
      </c>
      <c r="C561" s="24" t="s">
        <v>642</v>
      </c>
      <c r="D561" s="10" t="s">
        <v>643</v>
      </c>
      <c r="E561" s="10"/>
      <c r="F561" s="64" t="s">
        <v>559</v>
      </c>
      <c r="G561" s="10"/>
      <c r="H561" s="75">
        <v>40856</v>
      </c>
      <c r="I561" s="10"/>
      <c r="J561" s="10"/>
      <c r="K561" s="3"/>
    </row>
    <row r="562" spans="1:11" x14ac:dyDescent="0.25">
      <c r="A562" s="10">
        <v>700</v>
      </c>
      <c r="B562" s="4" t="s">
        <v>597</v>
      </c>
      <c r="C562" s="24" t="s">
        <v>179</v>
      </c>
      <c r="D562" s="10">
        <v>8134</v>
      </c>
      <c r="E562" s="10"/>
      <c r="F562" s="64" t="s">
        <v>558</v>
      </c>
      <c r="G562" s="10"/>
      <c r="H562" s="75">
        <v>40862</v>
      </c>
      <c r="I562" s="10"/>
      <c r="J562" s="10"/>
      <c r="K562" s="3"/>
    </row>
    <row r="563" spans="1:11" x14ac:dyDescent="0.25">
      <c r="A563" s="10">
        <v>701</v>
      </c>
      <c r="B563" s="4" t="s">
        <v>597</v>
      </c>
      <c r="C563" s="24" t="s">
        <v>180</v>
      </c>
      <c r="D563" s="10">
        <v>8134</v>
      </c>
      <c r="E563" s="10"/>
      <c r="F563" s="64" t="s">
        <v>558</v>
      </c>
      <c r="G563" s="10"/>
      <c r="H563" s="75">
        <v>40862</v>
      </c>
      <c r="I563" s="10"/>
      <c r="J563" s="10"/>
      <c r="K563" s="3"/>
    </row>
    <row r="564" spans="1:11" x14ac:dyDescent="0.25">
      <c r="A564" s="10">
        <v>702</v>
      </c>
      <c r="B564" s="4" t="s">
        <v>597</v>
      </c>
      <c r="C564" s="24" t="s">
        <v>181</v>
      </c>
      <c r="D564" s="10">
        <v>7373</v>
      </c>
      <c r="E564" s="10"/>
      <c r="F564" s="64" t="s">
        <v>558</v>
      </c>
      <c r="G564" s="10"/>
      <c r="H564" s="75">
        <v>40862</v>
      </c>
      <c r="I564" s="10"/>
      <c r="J564" s="10"/>
      <c r="K564" s="3"/>
    </row>
    <row r="565" spans="1:11" x14ac:dyDescent="0.25">
      <c r="A565" s="10">
        <v>703</v>
      </c>
      <c r="B565" s="4" t="s">
        <v>596</v>
      </c>
      <c r="C565" s="24" t="s">
        <v>182</v>
      </c>
      <c r="D565" s="10">
        <v>8134</v>
      </c>
      <c r="E565" s="10"/>
      <c r="F565" s="64" t="s">
        <v>389</v>
      </c>
      <c r="G565" s="10"/>
      <c r="H565" s="75">
        <v>40862</v>
      </c>
      <c r="I565" s="10"/>
      <c r="J565" s="10"/>
      <c r="K565" s="3"/>
    </row>
    <row r="566" spans="1:11" x14ac:dyDescent="0.25">
      <c r="A566" s="10">
        <v>704</v>
      </c>
      <c r="B566" s="4" t="s">
        <v>596</v>
      </c>
      <c r="C566" s="24" t="s">
        <v>183</v>
      </c>
      <c r="D566" s="10">
        <v>7373</v>
      </c>
      <c r="E566" s="10"/>
      <c r="F566" s="64" t="s">
        <v>389</v>
      </c>
      <c r="G566" s="10"/>
      <c r="H566" s="75">
        <v>40862</v>
      </c>
      <c r="I566" s="10"/>
      <c r="J566" s="10"/>
      <c r="K566" s="3"/>
    </row>
    <row r="567" spans="1:11" x14ac:dyDescent="0.25">
      <c r="A567" s="10">
        <v>705</v>
      </c>
      <c r="B567" s="4" t="s">
        <v>597</v>
      </c>
      <c r="C567" s="24" t="s">
        <v>45</v>
      </c>
      <c r="D567" s="10" t="s">
        <v>141</v>
      </c>
      <c r="E567" s="10"/>
      <c r="F567" s="64" t="s">
        <v>560</v>
      </c>
      <c r="G567" s="10"/>
      <c r="H567" s="75">
        <v>40862</v>
      </c>
      <c r="I567" s="10"/>
      <c r="J567" s="10"/>
      <c r="K567" s="3"/>
    </row>
    <row r="568" spans="1:11" x14ac:dyDescent="0.25">
      <c r="A568" s="11">
        <v>706</v>
      </c>
      <c r="B568" s="4" t="s">
        <v>596</v>
      </c>
      <c r="C568" s="24" t="s">
        <v>47</v>
      </c>
      <c r="D568" s="10">
        <v>8100</v>
      </c>
      <c r="E568" s="10"/>
      <c r="F568" s="68" t="s">
        <v>564</v>
      </c>
      <c r="G568" s="10"/>
      <c r="H568" s="75">
        <v>40875</v>
      </c>
      <c r="I568" s="10"/>
      <c r="J568" s="10"/>
      <c r="K568" s="3"/>
    </row>
    <row r="569" spans="1:11" x14ac:dyDescent="0.25">
      <c r="A569" s="67"/>
      <c r="B569" s="4" t="s">
        <v>596</v>
      </c>
      <c r="C569" s="24" t="s">
        <v>48</v>
      </c>
      <c r="D569" s="10">
        <v>8100</v>
      </c>
      <c r="E569" s="10"/>
      <c r="F569" s="69"/>
      <c r="G569" s="10"/>
      <c r="H569" s="75">
        <v>40875</v>
      </c>
      <c r="I569" s="10"/>
      <c r="J569" s="10"/>
      <c r="K569" s="3"/>
    </row>
    <row r="570" spans="1:11" x14ac:dyDescent="0.25">
      <c r="A570" s="11">
        <v>707</v>
      </c>
      <c r="B570" s="4" t="s">
        <v>596</v>
      </c>
      <c r="C570" s="24" t="s">
        <v>517</v>
      </c>
      <c r="D570" s="10">
        <v>8100</v>
      </c>
      <c r="E570" s="10"/>
      <c r="F570" s="68" t="s">
        <v>564</v>
      </c>
      <c r="G570" s="10"/>
      <c r="H570" s="75">
        <v>40875</v>
      </c>
      <c r="I570" s="10"/>
      <c r="J570" s="10"/>
      <c r="K570" s="3"/>
    </row>
    <row r="571" spans="1:11" x14ac:dyDescent="0.25">
      <c r="A571" s="67"/>
      <c r="B571" s="4" t="s">
        <v>596</v>
      </c>
      <c r="C571" s="24" t="s">
        <v>49</v>
      </c>
      <c r="D571" s="10">
        <v>8100</v>
      </c>
      <c r="E571" s="10"/>
      <c r="F571" s="69"/>
      <c r="G571" s="10"/>
      <c r="H571" s="75">
        <v>40875</v>
      </c>
      <c r="I571" s="10"/>
      <c r="J571" s="10"/>
      <c r="K571" s="3"/>
    </row>
    <row r="572" spans="1:11" x14ac:dyDescent="0.25">
      <c r="A572" s="10">
        <v>708</v>
      </c>
      <c r="B572" s="4" t="s">
        <v>596</v>
      </c>
      <c r="C572" s="24" t="s">
        <v>139</v>
      </c>
      <c r="D572" s="10">
        <v>8144</v>
      </c>
      <c r="E572" s="10"/>
      <c r="F572" s="64" t="s">
        <v>27</v>
      </c>
      <c r="G572" s="10"/>
      <c r="H572" s="75">
        <v>40878</v>
      </c>
      <c r="I572" s="10"/>
      <c r="J572" s="10"/>
      <c r="K572" s="3"/>
    </row>
    <row r="573" spans="1:11" x14ac:dyDescent="0.25">
      <c r="A573" s="10">
        <v>709</v>
      </c>
      <c r="B573" s="4" t="s">
        <v>597</v>
      </c>
      <c r="C573" s="45" t="s">
        <v>518</v>
      </c>
      <c r="D573" s="10" t="s">
        <v>519</v>
      </c>
      <c r="E573" s="10"/>
      <c r="F573" s="64" t="s">
        <v>560</v>
      </c>
      <c r="G573" s="10"/>
      <c r="H573" s="75">
        <v>40884</v>
      </c>
      <c r="I573" s="10"/>
      <c r="J573" s="10"/>
      <c r="K573" s="3"/>
    </row>
    <row r="574" spans="1:11" x14ac:dyDescent="0.25">
      <c r="A574" s="10">
        <v>710</v>
      </c>
      <c r="B574" s="4" t="s">
        <v>597</v>
      </c>
      <c r="C574" s="24" t="s">
        <v>142</v>
      </c>
      <c r="D574" s="10"/>
      <c r="E574" s="10"/>
      <c r="F574" s="64" t="s">
        <v>559</v>
      </c>
      <c r="G574" s="10"/>
      <c r="H574" s="75">
        <v>40885</v>
      </c>
      <c r="I574" s="10"/>
      <c r="J574" s="10"/>
      <c r="K574" s="3"/>
    </row>
    <row r="575" spans="1:11" x14ac:dyDescent="0.25">
      <c r="A575" s="10">
        <v>711</v>
      </c>
      <c r="B575" s="4" t="s">
        <v>597</v>
      </c>
      <c r="C575" s="24" t="s">
        <v>143</v>
      </c>
      <c r="D575" s="10" t="s">
        <v>144</v>
      </c>
      <c r="E575" s="10"/>
      <c r="F575" s="64" t="s">
        <v>559</v>
      </c>
      <c r="G575" s="10"/>
      <c r="H575" s="75">
        <v>40967</v>
      </c>
      <c r="I575" s="10"/>
      <c r="J575" s="10"/>
      <c r="K575" s="3"/>
    </row>
    <row r="576" spans="1:11" x14ac:dyDescent="0.25">
      <c r="A576" s="10">
        <v>712</v>
      </c>
      <c r="B576" s="4" t="s">
        <v>597</v>
      </c>
      <c r="C576" s="24" t="s">
        <v>140</v>
      </c>
      <c r="D576" s="10" t="s">
        <v>144</v>
      </c>
      <c r="E576" s="10"/>
      <c r="F576" s="64" t="s">
        <v>559</v>
      </c>
      <c r="G576" s="10"/>
      <c r="H576" s="75">
        <v>40917</v>
      </c>
      <c r="I576" s="10"/>
      <c r="J576" s="10"/>
      <c r="K576" s="3"/>
    </row>
    <row r="577" spans="1:11" x14ac:dyDescent="0.25">
      <c r="A577" s="10">
        <v>713</v>
      </c>
      <c r="B577" s="4" t="s">
        <v>597</v>
      </c>
      <c r="C577" s="24" t="s">
        <v>46</v>
      </c>
      <c r="D577" s="10">
        <v>8144</v>
      </c>
      <c r="E577" s="10"/>
      <c r="F577" s="64" t="s">
        <v>558</v>
      </c>
      <c r="G577" s="10"/>
      <c r="H577" s="75">
        <v>40919</v>
      </c>
      <c r="I577" s="10"/>
      <c r="J577" s="10"/>
      <c r="K577" s="3"/>
    </row>
    <row r="578" spans="1:11" x14ac:dyDescent="0.25">
      <c r="A578" s="10">
        <v>714</v>
      </c>
      <c r="B578" s="4" t="s">
        <v>597</v>
      </c>
      <c r="C578" s="24" t="s">
        <v>137</v>
      </c>
      <c r="D578" s="10">
        <v>8144</v>
      </c>
      <c r="E578" s="10"/>
      <c r="F578" s="64" t="s">
        <v>558</v>
      </c>
      <c r="G578" s="10"/>
      <c r="H578" s="75">
        <v>40919</v>
      </c>
      <c r="I578" s="10"/>
      <c r="J578" s="10"/>
      <c r="K578" s="3"/>
    </row>
    <row r="579" spans="1:11" x14ac:dyDescent="0.25">
      <c r="A579" s="10">
        <v>715</v>
      </c>
      <c r="B579" s="4" t="s">
        <v>597</v>
      </c>
      <c r="C579" s="24" t="s">
        <v>138</v>
      </c>
      <c r="D579" s="10" t="s">
        <v>371</v>
      </c>
      <c r="E579" s="10"/>
      <c r="F579" s="64" t="s">
        <v>560</v>
      </c>
      <c r="G579" s="10"/>
      <c r="H579" s="75">
        <v>40963</v>
      </c>
      <c r="I579" s="10"/>
      <c r="J579" s="10"/>
      <c r="K579" s="3"/>
    </row>
    <row r="580" spans="1:11" x14ac:dyDescent="0.25">
      <c r="A580" s="10">
        <v>716</v>
      </c>
      <c r="B580" s="4" t="s">
        <v>597</v>
      </c>
      <c r="C580" s="45" t="s">
        <v>521</v>
      </c>
      <c r="D580" s="10">
        <v>8033</v>
      </c>
      <c r="E580" s="10"/>
      <c r="F580" s="64" t="s">
        <v>558</v>
      </c>
      <c r="G580" s="10"/>
      <c r="H580" s="75">
        <v>40917</v>
      </c>
      <c r="I580" s="10"/>
      <c r="J580" s="10"/>
      <c r="K580" s="3"/>
    </row>
    <row r="581" spans="1:11" x14ac:dyDescent="0.25">
      <c r="A581" s="10">
        <v>717</v>
      </c>
      <c r="B581" s="4" t="s">
        <v>597</v>
      </c>
      <c r="C581" s="24" t="s">
        <v>136</v>
      </c>
      <c r="D581" s="10" t="s">
        <v>372</v>
      </c>
      <c r="E581" s="10"/>
      <c r="F581" s="64" t="s">
        <v>559</v>
      </c>
      <c r="G581" s="10"/>
      <c r="H581" s="75">
        <v>40939</v>
      </c>
      <c r="I581" s="10"/>
      <c r="J581" s="10"/>
      <c r="K581" s="3"/>
    </row>
    <row r="582" spans="1:11" x14ac:dyDescent="0.25">
      <c r="A582" s="11">
        <v>718</v>
      </c>
      <c r="B582" s="4" t="s">
        <v>596</v>
      </c>
      <c r="C582" s="49" t="s">
        <v>684</v>
      </c>
      <c r="D582" s="10">
        <v>7225</v>
      </c>
      <c r="E582" s="10"/>
      <c r="F582" s="68" t="s">
        <v>691</v>
      </c>
      <c r="G582" s="10"/>
      <c r="H582" s="75">
        <v>40980</v>
      </c>
      <c r="I582" s="10"/>
      <c r="J582" s="10"/>
      <c r="K582" s="3"/>
    </row>
    <row r="583" spans="1:11" x14ac:dyDescent="0.25">
      <c r="A583" s="67"/>
      <c r="B583" s="4" t="s">
        <v>596</v>
      </c>
      <c r="C583" s="49" t="s">
        <v>215</v>
      </c>
      <c r="D583" s="10">
        <v>7225</v>
      </c>
      <c r="E583" s="10"/>
      <c r="F583" s="69"/>
      <c r="G583" s="10"/>
      <c r="H583" s="75">
        <v>40980</v>
      </c>
      <c r="I583" s="10"/>
      <c r="J583" s="10"/>
      <c r="K583" s="3"/>
    </row>
    <row r="584" spans="1:11" x14ac:dyDescent="0.25">
      <c r="A584" s="11">
        <v>719</v>
      </c>
      <c r="B584" s="4" t="s">
        <v>596</v>
      </c>
      <c r="C584" s="49" t="s">
        <v>686</v>
      </c>
      <c r="D584" s="10">
        <v>7225</v>
      </c>
      <c r="E584" s="10"/>
      <c r="F584" s="68" t="s">
        <v>691</v>
      </c>
      <c r="G584" s="10"/>
      <c r="H584" s="75">
        <v>40980</v>
      </c>
      <c r="I584" s="10"/>
      <c r="J584" s="10"/>
      <c r="K584" s="3"/>
    </row>
    <row r="585" spans="1:11" x14ac:dyDescent="0.25">
      <c r="A585" s="67"/>
      <c r="B585" s="4" t="s">
        <v>596</v>
      </c>
      <c r="C585" s="49" t="s">
        <v>216</v>
      </c>
      <c r="D585" s="10">
        <v>7225</v>
      </c>
      <c r="E585" s="10"/>
      <c r="F585" s="69"/>
      <c r="G585" s="10"/>
      <c r="H585" s="75">
        <v>40980</v>
      </c>
      <c r="I585" s="10"/>
      <c r="J585" s="10"/>
      <c r="K585" s="3"/>
    </row>
    <row r="586" spans="1:11" x14ac:dyDescent="0.25">
      <c r="A586" s="11">
        <v>720</v>
      </c>
      <c r="B586" s="4" t="s">
        <v>596</v>
      </c>
      <c r="C586" s="49" t="s">
        <v>688</v>
      </c>
      <c r="D586" s="10">
        <v>7225</v>
      </c>
      <c r="E586" s="10"/>
      <c r="F586" s="68" t="s">
        <v>691</v>
      </c>
      <c r="G586" s="10"/>
      <c r="H586" s="75">
        <v>40980</v>
      </c>
      <c r="I586" s="10"/>
      <c r="J586" s="10"/>
      <c r="K586" s="3"/>
    </row>
    <row r="587" spans="1:11" x14ac:dyDescent="0.25">
      <c r="A587" s="67"/>
      <c r="B587" s="4" t="s">
        <v>596</v>
      </c>
      <c r="C587" s="49" t="s">
        <v>685</v>
      </c>
      <c r="D587" s="10">
        <v>7225</v>
      </c>
      <c r="E587" s="10"/>
      <c r="F587" s="69"/>
      <c r="G587" s="10"/>
      <c r="H587" s="75">
        <v>40980</v>
      </c>
      <c r="I587" s="10"/>
      <c r="J587" s="10"/>
      <c r="K587" s="3"/>
    </row>
    <row r="588" spans="1:11" x14ac:dyDescent="0.25">
      <c r="A588" s="11">
        <v>721</v>
      </c>
      <c r="B588" s="4" t="s">
        <v>596</v>
      </c>
      <c r="C588" s="49" t="s">
        <v>687</v>
      </c>
      <c r="D588" s="10">
        <v>7225</v>
      </c>
      <c r="E588" s="10"/>
      <c r="F588" s="68" t="s">
        <v>691</v>
      </c>
      <c r="G588" s="10"/>
      <c r="H588" s="75">
        <v>40980</v>
      </c>
      <c r="I588" s="10"/>
      <c r="J588" s="10"/>
      <c r="K588" s="3"/>
    </row>
    <row r="589" spans="1:11" x14ac:dyDescent="0.25">
      <c r="A589" s="67"/>
      <c r="B589" s="4" t="s">
        <v>596</v>
      </c>
      <c r="C589" s="49" t="s">
        <v>217</v>
      </c>
      <c r="D589" s="10">
        <v>7225</v>
      </c>
      <c r="E589" s="10"/>
      <c r="F589" s="69"/>
      <c r="G589" s="10"/>
      <c r="H589" s="75">
        <v>40980</v>
      </c>
      <c r="I589" s="10"/>
      <c r="J589" s="10"/>
      <c r="K589" s="3"/>
    </row>
    <row r="590" spans="1:11" x14ac:dyDescent="0.25">
      <c r="A590" s="11">
        <v>722</v>
      </c>
      <c r="B590" s="4" t="s">
        <v>596</v>
      </c>
      <c r="C590" s="49" t="s">
        <v>690</v>
      </c>
      <c r="D590" s="10">
        <v>7225</v>
      </c>
      <c r="E590" s="10"/>
      <c r="F590" s="68" t="s">
        <v>691</v>
      </c>
      <c r="G590" s="10"/>
      <c r="H590" s="75">
        <v>40980</v>
      </c>
      <c r="I590" s="10"/>
      <c r="J590" s="10"/>
      <c r="K590" s="3"/>
    </row>
    <row r="591" spans="1:11" x14ac:dyDescent="0.25">
      <c r="A591" s="67"/>
      <c r="B591" s="4" t="s">
        <v>596</v>
      </c>
      <c r="C591" s="49" t="s">
        <v>689</v>
      </c>
      <c r="D591" s="10">
        <v>7225</v>
      </c>
      <c r="E591" s="10"/>
      <c r="F591" s="69"/>
      <c r="G591" s="10"/>
      <c r="H591" s="75">
        <v>40980</v>
      </c>
      <c r="I591" s="10"/>
      <c r="J591" s="10"/>
      <c r="K591" s="3"/>
    </row>
    <row r="592" spans="1:11" x14ac:dyDescent="0.25">
      <c r="A592" s="10">
        <v>723</v>
      </c>
      <c r="B592" s="4" t="s">
        <v>597</v>
      </c>
      <c r="C592" s="24" t="s">
        <v>67</v>
      </c>
      <c r="D592" s="10">
        <v>8138</v>
      </c>
      <c r="E592" s="10"/>
      <c r="F592" s="64" t="s">
        <v>559</v>
      </c>
      <c r="G592" s="10"/>
      <c r="H592" s="75">
        <v>40980</v>
      </c>
      <c r="I592" s="10"/>
      <c r="J592" s="10"/>
      <c r="K592" s="3"/>
    </row>
    <row r="593" spans="1:11" x14ac:dyDescent="0.25">
      <c r="A593" s="10">
        <v>724</v>
      </c>
      <c r="B593" s="4" t="s">
        <v>597</v>
      </c>
      <c r="C593" s="24" t="s">
        <v>70</v>
      </c>
      <c r="D593" s="10">
        <v>8138</v>
      </c>
      <c r="E593" s="10"/>
      <c r="F593" s="64" t="s">
        <v>559</v>
      </c>
      <c r="G593" s="10"/>
      <c r="H593" s="75">
        <v>40980</v>
      </c>
      <c r="I593" s="10"/>
      <c r="J593" s="10"/>
      <c r="K593" s="3"/>
    </row>
    <row r="594" spans="1:11" x14ac:dyDescent="0.25">
      <c r="A594" s="10">
        <v>725</v>
      </c>
      <c r="B594" s="4" t="s">
        <v>597</v>
      </c>
      <c r="C594" s="24" t="s">
        <v>220</v>
      </c>
      <c r="D594" s="10">
        <v>8138</v>
      </c>
      <c r="E594" s="10"/>
      <c r="F594" s="64" t="s">
        <v>559</v>
      </c>
      <c r="G594" s="10"/>
      <c r="H594" s="75">
        <v>40980</v>
      </c>
      <c r="I594" s="10"/>
      <c r="J594" s="10"/>
      <c r="K594" s="3"/>
    </row>
    <row r="595" spans="1:11" x14ac:dyDescent="0.25">
      <c r="A595" s="10">
        <v>726</v>
      </c>
      <c r="B595" s="4" t="s">
        <v>597</v>
      </c>
      <c r="C595" s="24" t="s">
        <v>71</v>
      </c>
      <c r="D595" s="10">
        <v>8138</v>
      </c>
      <c r="E595" s="10"/>
      <c r="F595" s="64" t="s">
        <v>559</v>
      </c>
      <c r="G595" s="10"/>
      <c r="H595" s="75">
        <v>40980</v>
      </c>
      <c r="I595" s="10"/>
      <c r="J595" s="10"/>
      <c r="K595" s="3"/>
    </row>
    <row r="596" spans="1:11" x14ac:dyDescent="0.25">
      <c r="A596" s="10">
        <v>727</v>
      </c>
      <c r="B596" s="4" t="s">
        <v>597</v>
      </c>
      <c r="C596" s="24" t="s">
        <v>69</v>
      </c>
      <c r="D596" s="10">
        <v>8138</v>
      </c>
      <c r="E596" s="10"/>
      <c r="F596" s="64" t="s">
        <v>559</v>
      </c>
      <c r="G596" s="10"/>
      <c r="H596" s="75">
        <v>40980</v>
      </c>
      <c r="I596" s="10"/>
      <c r="J596" s="10"/>
      <c r="K596" s="3"/>
    </row>
    <row r="597" spans="1:11" x14ac:dyDescent="0.25">
      <c r="A597" s="10">
        <v>728</v>
      </c>
      <c r="B597" s="4" t="s">
        <v>597</v>
      </c>
      <c r="C597" s="24" t="s">
        <v>74</v>
      </c>
      <c r="D597" s="10">
        <v>8138</v>
      </c>
      <c r="E597" s="10"/>
      <c r="F597" s="64" t="s">
        <v>559</v>
      </c>
      <c r="G597" s="10"/>
      <c r="H597" s="75">
        <v>40980</v>
      </c>
      <c r="I597" s="10"/>
      <c r="J597" s="10"/>
      <c r="K597" s="3"/>
    </row>
    <row r="598" spans="1:11" x14ac:dyDescent="0.25">
      <c r="A598" s="10">
        <v>729</v>
      </c>
      <c r="B598" s="4" t="s">
        <v>597</v>
      </c>
      <c r="C598" s="24" t="s">
        <v>75</v>
      </c>
      <c r="D598" s="10">
        <v>8138</v>
      </c>
      <c r="E598" s="10"/>
      <c r="F598" s="64" t="s">
        <v>559</v>
      </c>
      <c r="G598" s="10"/>
      <c r="H598" s="75">
        <v>40980</v>
      </c>
      <c r="I598" s="10"/>
      <c r="J598" s="10"/>
      <c r="K598" s="3"/>
    </row>
    <row r="599" spans="1:11" x14ac:dyDescent="0.25">
      <c r="A599" s="10">
        <v>730</v>
      </c>
      <c r="B599" s="4" t="s">
        <v>597</v>
      </c>
      <c r="C599" s="24" t="s">
        <v>76</v>
      </c>
      <c r="D599" s="10">
        <v>8138</v>
      </c>
      <c r="E599" s="10"/>
      <c r="F599" s="64" t="s">
        <v>559</v>
      </c>
      <c r="G599" s="10"/>
      <c r="H599" s="75">
        <v>40980</v>
      </c>
      <c r="I599" s="10"/>
      <c r="J599" s="10"/>
      <c r="K599" s="3"/>
    </row>
    <row r="600" spans="1:11" x14ac:dyDescent="0.25">
      <c r="A600" s="10">
        <v>731</v>
      </c>
      <c r="B600" s="4" t="s">
        <v>597</v>
      </c>
      <c r="C600" s="24" t="s">
        <v>72</v>
      </c>
      <c r="D600" s="10">
        <v>8138</v>
      </c>
      <c r="E600" s="10"/>
      <c r="F600" s="64" t="s">
        <v>559</v>
      </c>
      <c r="G600" s="10"/>
      <c r="H600" s="75">
        <v>40980</v>
      </c>
      <c r="I600" s="10"/>
      <c r="J600" s="10"/>
      <c r="K600" s="3"/>
    </row>
    <row r="601" spans="1:11" x14ac:dyDescent="0.25">
      <c r="A601" s="10">
        <v>732</v>
      </c>
      <c r="B601" s="4" t="s">
        <v>597</v>
      </c>
      <c r="C601" s="24" t="s">
        <v>77</v>
      </c>
      <c r="D601" s="10">
        <v>8138</v>
      </c>
      <c r="E601" s="10"/>
      <c r="F601" s="64" t="s">
        <v>559</v>
      </c>
      <c r="G601" s="10"/>
      <c r="H601" s="75">
        <v>40980</v>
      </c>
      <c r="I601" s="10"/>
      <c r="J601" s="10"/>
      <c r="K601" s="3"/>
    </row>
    <row r="602" spans="1:11" x14ac:dyDescent="0.25">
      <c r="A602" s="10">
        <v>733</v>
      </c>
      <c r="B602" s="4" t="s">
        <v>597</v>
      </c>
      <c r="C602" s="24" t="s">
        <v>78</v>
      </c>
      <c r="D602" s="10">
        <v>8138</v>
      </c>
      <c r="E602" s="10"/>
      <c r="F602" s="64" t="s">
        <v>559</v>
      </c>
      <c r="G602" s="10"/>
      <c r="H602" s="75">
        <v>40980</v>
      </c>
      <c r="I602" s="10"/>
      <c r="J602" s="10"/>
      <c r="K602" s="3"/>
    </row>
    <row r="603" spans="1:11" x14ac:dyDescent="0.25">
      <c r="A603" s="10">
        <v>734</v>
      </c>
      <c r="B603" s="4" t="s">
        <v>597</v>
      </c>
      <c r="C603" s="24" t="s">
        <v>73</v>
      </c>
      <c r="D603" s="10">
        <v>8138</v>
      </c>
      <c r="E603" s="10"/>
      <c r="F603" s="64" t="s">
        <v>559</v>
      </c>
      <c r="G603" s="10"/>
      <c r="H603" s="75">
        <v>40980</v>
      </c>
      <c r="I603" s="10"/>
      <c r="J603" s="10"/>
      <c r="K603" s="3"/>
    </row>
    <row r="604" spans="1:11" x14ac:dyDescent="0.25">
      <c r="A604" s="10">
        <v>735</v>
      </c>
      <c r="B604" s="4" t="s">
        <v>597</v>
      </c>
      <c r="C604" s="24" t="s">
        <v>79</v>
      </c>
      <c r="D604" s="10">
        <v>8138</v>
      </c>
      <c r="E604" s="10"/>
      <c r="F604" s="64" t="s">
        <v>559</v>
      </c>
      <c r="G604" s="10"/>
      <c r="H604" s="75">
        <v>40980</v>
      </c>
      <c r="I604" s="10"/>
      <c r="J604" s="10"/>
      <c r="K604" s="3"/>
    </row>
    <row r="605" spans="1:11" x14ac:dyDescent="0.25">
      <c r="A605" s="10">
        <v>736</v>
      </c>
      <c r="B605" s="4" t="s">
        <v>597</v>
      </c>
      <c r="C605" s="24" t="s">
        <v>80</v>
      </c>
      <c r="D605" s="10">
        <v>8138</v>
      </c>
      <c r="E605" s="10"/>
      <c r="F605" s="64" t="s">
        <v>559</v>
      </c>
      <c r="G605" s="10"/>
      <c r="H605" s="75">
        <v>40980</v>
      </c>
      <c r="I605" s="10"/>
      <c r="J605" s="10"/>
      <c r="K605" s="3"/>
    </row>
    <row r="606" spans="1:11" x14ac:dyDescent="0.25">
      <c r="A606" s="10">
        <v>737</v>
      </c>
      <c r="B606" s="4" t="s">
        <v>597</v>
      </c>
      <c r="C606" s="24" t="s">
        <v>81</v>
      </c>
      <c r="D606" s="10">
        <v>8138</v>
      </c>
      <c r="E606" s="10"/>
      <c r="F606" s="64" t="s">
        <v>520</v>
      </c>
      <c r="G606" s="10"/>
      <c r="H606" s="75">
        <v>40980</v>
      </c>
      <c r="I606" s="10"/>
      <c r="J606" s="10"/>
      <c r="K606" s="3"/>
    </row>
    <row r="607" spans="1:11" x14ac:dyDescent="0.25">
      <c r="A607" s="10">
        <v>738</v>
      </c>
      <c r="B607" s="4" t="s">
        <v>597</v>
      </c>
      <c r="C607" s="24" t="s">
        <v>82</v>
      </c>
      <c r="D607" s="10">
        <v>8138</v>
      </c>
      <c r="E607" s="10"/>
      <c r="F607" s="64" t="s">
        <v>520</v>
      </c>
      <c r="G607" s="10"/>
      <c r="H607" s="75">
        <v>40980</v>
      </c>
      <c r="I607" s="10"/>
      <c r="J607" s="10"/>
      <c r="K607" s="3"/>
    </row>
    <row r="608" spans="1:11" x14ac:dyDescent="0.25">
      <c r="A608" s="10">
        <v>739</v>
      </c>
      <c r="B608" s="4" t="s">
        <v>597</v>
      </c>
      <c r="C608" s="24" t="s">
        <v>83</v>
      </c>
      <c r="D608" s="10">
        <v>8138</v>
      </c>
      <c r="E608" s="10"/>
      <c r="F608" s="64" t="s">
        <v>520</v>
      </c>
      <c r="G608" s="10"/>
      <c r="H608" s="75">
        <v>40980</v>
      </c>
      <c r="I608" s="10"/>
      <c r="J608" s="10"/>
      <c r="K608" s="3"/>
    </row>
    <row r="609" spans="1:11" x14ac:dyDescent="0.25">
      <c r="A609" s="10">
        <v>740</v>
      </c>
      <c r="B609" s="4" t="s">
        <v>597</v>
      </c>
      <c r="C609" s="24" t="s">
        <v>84</v>
      </c>
      <c r="D609" s="10">
        <v>8138</v>
      </c>
      <c r="E609" s="10"/>
      <c r="F609" s="64" t="s">
        <v>520</v>
      </c>
      <c r="G609" s="10"/>
      <c r="H609" s="75">
        <v>40980</v>
      </c>
      <c r="I609" s="10"/>
      <c r="J609" s="10"/>
      <c r="K609" s="3"/>
    </row>
    <row r="610" spans="1:11" x14ac:dyDescent="0.25">
      <c r="A610" s="10">
        <v>741</v>
      </c>
      <c r="B610" s="4" t="s">
        <v>597</v>
      </c>
      <c r="C610" s="24" t="s">
        <v>587</v>
      </c>
      <c r="D610" s="10">
        <v>8161</v>
      </c>
      <c r="E610" s="10"/>
      <c r="F610" s="64" t="s">
        <v>562</v>
      </c>
      <c r="G610" s="10"/>
      <c r="H610" s="75">
        <v>40983</v>
      </c>
      <c r="I610" s="10"/>
      <c r="J610" s="10"/>
      <c r="K610" s="3"/>
    </row>
    <row r="611" spans="1:11" x14ac:dyDescent="0.25">
      <c r="A611" s="10">
        <v>742</v>
      </c>
      <c r="B611" s="4" t="s">
        <v>597</v>
      </c>
      <c r="C611" s="24" t="s">
        <v>588</v>
      </c>
      <c r="D611" s="10">
        <v>8159</v>
      </c>
      <c r="E611" s="10"/>
      <c r="F611" s="64" t="s">
        <v>558</v>
      </c>
      <c r="G611" s="10"/>
      <c r="H611" s="75">
        <v>40984</v>
      </c>
      <c r="I611" s="10"/>
      <c r="J611" s="10"/>
      <c r="K611" s="3"/>
    </row>
    <row r="612" spans="1:11" x14ac:dyDescent="0.25">
      <c r="A612" s="10">
        <v>743</v>
      </c>
      <c r="B612" s="4" t="s">
        <v>597</v>
      </c>
      <c r="C612" s="24" t="s">
        <v>218</v>
      </c>
      <c r="D612" s="10">
        <v>8159</v>
      </c>
      <c r="E612" s="10"/>
      <c r="F612" s="64" t="s">
        <v>558</v>
      </c>
      <c r="G612" s="10"/>
      <c r="H612" s="75">
        <v>40984</v>
      </c>
      <c r="I612" s="10"/>
      <c r="J612" s="10"/>
      <c r="K612" s="3"/>
    </row>
    <row r="613" spans="1:11" x14ac:dyDescent="0.25">
      <c r="A613" s="10">
        <v>744</v>
      </c>
      <c r="B613" s="4" t="s">
        <v>596</v>
      </c>
      <c r="C613" s="24" t="s">
        <v>35</v>
      </c>
      <c r="D613" s="10">
        <v>8159</v>
      </c>
      <c r="E613" s="10"/>
      <c r="F613" s="64" t="s">
        <v>389</v>
      </c>
      <c r="G613" s="10"/>
      <c r="H613" s="75">
        <v>40987</v>
      </c>
      <c r="I613" s="10"/>
      <c r="J613" s="10"/>
      <c r="K613" s="3"/>
    </row>
    <row r="614" spans="1:11" x14ac:dyDescent="0.25">
      <c r="A614" s="10">
        <v>745</v>
      </c>
      <c r="B614" s="4" t="s">
        <v>596</v>
      </c>
      <c r="C614" s="24" t="s">
        <v>34</v>
      </c>
      <c r="D614" s="10">
        <v>8159</v>
      </c>
      <c r="E614" s="10"/>
      <c r="F614" s="64" t="s">
        <v>389</v>
      </c>
      <c r="G614" s="10"/>
      <c r="H614" s="75">
        <v>40987</v>
      </c>
      <c r="I614" s="10"/>
      <c r="J614" s="10"/>
      <c r="K614" s="3"/>
    </row>
    <row r="615" spans="1:11" x14ac:dyDescent="0.25">
      <c r="A615" s="10">
        <v>746</v>
      </c>
      <c r="B615" s="4" t="s">
        <v>596</v>
      </c>
      <c r="C615" s="45" t="s">
        <v>57</v>
      </c>
      <c r="D615" s="10">
        <v>8163</v>
      </c>
      <c r="E615" s="10"/>
      <c r="F615" s="64" t="s">
        <v>389</v>
      </c>
      <c r="G615" s="10"/>
      <c r="H615" s="75">
        <v>40997</v>
      </c>
      <c r="I615" s="10"/>
      <c r="J615" s="10"/>
      <c r="K615" s="3"/>
    </row>
    <row r="616" spans="1:11" x14ac:dyDescent="0.25">
      <c r="A616" s="10">
        <v>747</v>
      </c>
      <c r="B616" s="4" t="s">
        <v>597</v>
      </c>
      <c r="C616" s="45" t="s">
        <v>58</v>
      </c>
      <c r="D616" s="10">
        <v>8163</v>
      </c>
      <c r="E616" s="10"/>
      <c r="F616" s="64" t="s">
        <v>558</v>
      </c>
      <c r="G616" s="10"/>
      <c r="H616" s="75">
        <v>40997</v>
      </c>
      <c r="I616" s="10"/>
      <c r="J616" s="10"/>
      <c r="K616" s="3"/>
    </row>
    <row r="617" spans="1:11" x14ac:dyDescent="0.25">
      <c r="A617" s="10">
        <v>748</v>
      </c>
      <c r="B617" s="4" t="s">
        <v>597</v>
      </c>
      <c r="C617" s="45" t="s">
        <v>59</v>
      </c>
      <c r="D617" s="10">
        <v>8163</v>
      </c>
      <c r="E617" s="10"/>
      <c r="F617" s="64" t="s">
        <v>558</v>
      </c>
      <c r="G617" s="10"/>
      <c r="H617" s="75">
        <v>40997</v>
      </c>
      <c r="I617" s="10"/>
      <c r="J617" s="10"/>
      <c r="K617" s="3"/>
    </row>
    <row r="618" spans="1:11" x14ac:dyDescent="0.25">
      <c r="A618" s="10">
        <v>749</v>
      </c>
      <c r="B618" s="4" t="s">
        <v>597</v>
      </c>
      <c r="C618" s="45" t="s">
        <v>60</v>
      </c>
      <c r="D618" s="10">
        <v>8163</v>
      </c>
      <c r="E618" s="10"/>
      <c r="F618" s="64" t="s">
        <v>558</v>
      </c>
      <c r="G618" s="10"/>
      <c r="H618" s="75">
        <v>40997</v>
      </c>
      <c r="I618" s="10"/>
      <c r="J618" s="10"/>
      <c r="K618" s="3"/>
    </row>
    <row r="619" spans="1:11" x14ac:dyDescent="0.25">
      <c r="A619" s="10">
        <v>750</v>
      </c>
      <c r="B619" s="4" t="s">
        <v>597</v>
      </c>
      <c r="C619" s="45" t="s">
        <v>61</v>
      </c>
      <c r="D619" s="10">
        <v>8173</v>
      </c>
      <c r="E619" s="10"/>
      <c r="F619" s="64" t="s">
        <v>558</v>
      </c>
      <c r="G619" s="10"/>
      <c r="H619" s="75">
        <v>41010</v>
      </c>
      <c r="I619" s="10"/>
      <c r="J619" s="10"/>
      <c r="K619" s="3"/>
    </row>
    <row r="620" spans="1:11" x14ac:dyDescent="0.25">
      <c r="A620" s="10">
        <v>751</v>
      </c>
      <c r="B620" s="4" t="s">
        <v>597</v>
      </c>
      <c r="C620" s="45" t="s">
        <v>62</v>
      </c>
      <c r="D620" s="10">
        <v>8173</v>
      </c>
      <c r="E620" s="10"/>
      <c r="F620" s="64" t="s">
        <v>558</v>
      </c>
      <c r="G620" s="10"/>
      <c r="H620" s="75">
        <v>41010</v>
      </c>
      <c r="I620" s="10"/>
      <c r="J620" s="10"/>
      <c r="K620" s="3"/>
    </row>
    <row r="621" spans="1:11" x14ac:dyDescent="0.25">
      <c r="A621" s="10">
        <v>752</v>
      </c>
      <c r="B621" s="4" t="s">
        <v>597</v>
      </c>
      <c r="C621" s="45" t="s">
        <v>63</v>
      </c>
      <c r="D621" s="10">
        <v>8173</v>
      </c>
      <c r="E621" s="10"/>
      <c r="F621" s="64" t="s">
        <v>558</v>
      </c>
      <c r="G621" s="10"/>
      <c r="H621" s="75">
        <v>41010</v>
      </c>
      <c r="I621" s="10"/>
      <c r="J621" s="10"/>
      <c r="K621" s="3"/>
    </row>
    <row r="622" spans="1:11" x14ac:dyDescent="0.25">
      <c r="A622" s="10">
        <v>753</v>
      </c>
      <c r="B622" s="4" t="s">
        <v>597</v>
      </c>
      <c r="C622" s="45" t="s">
        <v>64</v>
      </c>
      <c r="D622" s="10">
        <v>8173</v>
      </c>
      <c r="E622" s="10"/>
      <c r="F622" s="64" t="s">
        <v>558</v>
      </c>
      <c r="G622" s="10"/>
      <c r="H622" s="75">
        <v>41010</v>
      </c>
      <c r="I622" s="10"/>
      <c r="J622" s="10"/>
      <c r="K622" s="3"/>
    </row>
    <row r="623" spans="1:11" x14ac:dyDescent="0.25">
      <c r="A623" s="10">
        <v>754</v>
      </c>
      <c r="B623" s="4" t="s">
        <v>597</v>
      </c>
      <c r="C623" s="45" t="s">
        <v>65</v>
      </c>
      <c r="D623" s="10">
        <v>8171</v>
      </c>
      <c r="E623" s="10"/>
      <c r="F623" s="64" t="s">
        <v>558</v>
      </c>
      <c r="G623" s="10"/>
      <c r="H623" s="75">
        <v>41011</v>
      </c>
      <c r="I623" s="10"/>
      <c r="J623" s="10"/>
      <c r="K623" s="3"/>
    </row>
    <row r="624" spans="1:11" x14ac:dyDescent="0.25">
      <c r="A624" s="10">
        <v>755</v>
      </c>
      <c r="B624" s="4" t="s">
        <v>596</v>
      </c>
      <c r="C624" s="45" t="s">
        <v>66</v>
      </c>
      <c r="D624" s="10">
        <v>8171</v>
      </c>
      <c r="E624" s="10"/>
      <c r="F624" s="64" t="s">
        <v>389</v>
      </c>
      <c r="G624" s="10"/>
      <c r="H624" s="75">
        <v>41011</v>
      </c>
      <c r="I624" s="10"/>
      <c r="J624" s="10"/>
      <c r="K624" s="3"/>
    </row>
    <row r="625" spans="1:11" x14ac:dyDescent="0.25">
      <c r="A625" s="10">
        <v>756</v>
      </c>
      <c r="B625" s="4" t="s">
        <v>597</v>
      </c>
      <c r="C625" s="24" t="s">
        <v>85</v>
      </c>
      <c r="D625" s="10">
        <v>8157</v>
      </c>
      <c r="E625" s="10"/>
      <c r="F625" s="64" t="s">
        <v>560</v>
      </c>
      <c r="G625" s="10"/>
      <c r="H625" s="75">
        <v>41012</v>
      </c>
      <c r="I625" s="10"/>
      <c r="J625" s="10"/>
      <c r="K625" s="3"/>
    </row>
    <row r="626" spans="1:11" x14ac:dyDescent="0.25">
      <c r="A626" s="10">
        <v>757</v>
      </c>
      <c r="B626" s="4" t="s">
        <v>597</v>
      </c>
      <c r="C626" s="45" t="s">
        <v>68</v>
      </c>
      <c r="D626" s="10">
        <v>8138</v>
      </c>
      <c r="E626" s="10"/>
      <c r="F626" s="64" t="s">
        <v>520</v>
      </c>
      <c r="G626" s="10"/>
      <c r="H626" s="75">
        <v>41015</v>
      </c>
      <c r="I626" s="10"/>
      <c r="J626" s="10"/>
      <c r="K626" s="3"/>
    </row>
    <row r="627" spans="1:11" x14ac:dyDescent="0.25">
      <c r="A627" s="10">
        <v>758</v>
      </c>
      <c r="B627" s="4" t="s">
        <v>597</v>
      </c>
      <c r="C627" s="45" t="s">
        <v>219</v>
      </c>
      <c r="D627" s="10">
        <v>8138</v>
      </c>
      <c r="E627" s="10"/>
      <c r="F627" s="64" t="s">
        <v>520</v>
      </c>
      <c r="G627" s="10"/>
      <c r="H627" s="75">
        <v>41015</v>
      </c>
      <c r="I627" s="10"/>
      <c r="J627" s="10"/>
      <c r="K627" s="3"/>
    </row>
    <row r="628" spans="1:11" x14ac:dyDescent="0.25">
      <c r="A628" s="10">
        <v>759</v>
      </c>
      <c r="B628" s="4" t="s">
        <v>597</v>
      </c>
      <c r="C628" s="45" t="s">
        <v>54</v>
      </c>
      <c r="D628" s="10">
        <v>8113</v>
      </c>
      <c r="E628" s="10"/>
      <c r="F628" s="64" t="s">
        <v>561</v>
      </c>
      <c r="G628" s="10"/>
      <c r="H628" s="75">
        <v>41017</v>
      </c>
      <c r="I628" s="10"/>
      <c r="J628" s="10"/>
      <c r="K628" s="3"/>
    </row>
    <row r="629" spans="1:11" x14ac:dyDescent="0.25">
      <c r="A629" s="10">
        <v>760</v>
      </c>
      <c r="B629" s="4" t="s">
        <v>597</v>
      </c>
      <c r="C629" s="45" t="s">
        <v>55</v>
      </c>
      <c r="D629" s="10">
        <v>8113</v>
      </c>
      <c r="E629" s="10"/>
      <c r="F629" s="64" t="s">
        <v>561</v>
      </c>
      <c r="G629" s="10"/>
      <c r="H629" s="75">
        <v>41017</v>
      </c>
      <c r="I629" s="10"/>
      <c r="J629" s="10"/>
      <c r="K629" s="3"/>
    </row>
    <row r="630" spans="1:11" x14ac:dyDescent="0.25">
      <c r="A630" s="10">
        <v>761</v>
      </c>
      <c r="B630" s="4" t="s">
        <v>597</v>
      </c>
      <c r="C630" s="45" t="s">
        <v>56</v>
      </c>
      <c r="D630" s="10">
        <v>8166</v>
      </c>
      <c r="E630" s="10"/>
      <c r="F630" s="64" t="s">
        <v>558</v>
      </c>
      <c r="G630" s="10"/>
      <c r="H630" s="75">
        <v>41018</v>
      </c>
      <c r="I630" s="10"/>
      <c r="J630" s="10"/>
      <c r="K630" s="3"/>
    </row>
    <row r="631" spans="1:11" x14ac:dyDescent="0.25">
      <c r="A631" s="10">
        <v>762</v>
      </c>
      <c r="B631" s="4" t="s">
        <v>597</v>
      </c>
      <c r="C631" s="24" t="s">
        <v>222</v>
      </c>
      <c r="D631" s="10">
        <v>8166</v>
      </c>
      <c r="E631" s="10"/>
      <c r="F631" s="64" t="s">
        <v>558</v>
      </c>
      <c r="G631" s="10"/>
      <c r="H631" s="75">
        <v>41018</v>
      </c>
      <c r="I631" s="10"/>
      <c r="J631" s="10"/>
      <c r="K631" s="3"/>
    </row>
    <row r="632" spans="1:11" x14ac:dyDescent="0.25">
      <c r="A632" s="10">
        <v>763</v>
      </c>
      <c r="B632" s="4" t="s">
        <v>596</v>
      </c>
      <c r="C632" s="45" t="s">
        <v>53</v>
      </c>
      <c r="D632" s="10">
        <v>8168</v>
      </c>
      <c r="E632" s="10"/>
      <c r="F632" s="64" t="s">
        <v>389</v>
      </c>
      <c r="G632" s="10"/>
      <c r="H632" s="75">
        <v>40652</v>
      </c>
      <c r="I632" s="10"/>
      <c r="J632" s="10"/>
      <c r="K632" s="3"/>
    </row>
    <row r="633" spans="1:11" x14ac:dyDescent="0.25">
      <c r="A633" s="10">
        <v>764</v>
      </c>
      <c r="B633" s="4" t="s">
        <v>597</v>
      </c>
      <c r="C633" s="24" t="s">
        <v>699</v>
      </c>
      <c r="D633" s="10">
        <v>8168</v>
      </c>
      <c r="E633" s="10"/>
      <c r="F633" s="64" t="s">
        <v>558</v>
      </c>
      <c r="G633" s="10"/>
      <c r="H633" s="75">
        <v>40652</v>
      </c>
      <c r="I633" s="10"/>
      <c r="J633" s="10"/>
      <c r="K633" s="3"/>
    </row>
    <row r="634" spans="1:11" x14ac:dyDescent="0.25">
      <c r="A634" s="10">
        <v>765</v>
      </c>
      <c r="B634" s="4" t="s">
        <v>597</v>
      </c>
      <c r="C634" s="24" t="s">
        <v>700</v>
      </c>
      <c r="D634" s="10">
        <v>8168</v>
      </c>
      <c r="E634" s="10"/>
      <c r="F634" s="64" t="s">
        <v>558</v>
      </c>
      <c r="G634" s="10"/>
      <c r="H634" s="75">
        <v>40652</v>
      </c>
      <c r="I634" s="10"/>
      <c r="J634" s="10"/>
      <c r="K634" s="3"/>
    </row>
    <row r="635" spans="1:11" x14ac:dyDescent="0.25">
      <c r="A635" s="10">
        <v>766</v>
      </c>
      <c r="B635" s="4" t="s">
        <v>597</v>
      </c>
      <c r="C635" s="24" t="s">
        <v>701</v>
      </c>
      <c r="D635" s="10">
        <v>8173</v>
      </c>
      <c r="E635" s="10"/>
      <c r="F635" s="64" t="s">
        <v>558</v>
      </c>
      <c r="G635" s="10"/>
      <c r="H635" s="75">
        <v>40652</v>
      </c>
      <c r="I635" s="10"/>
      <c r="J635" s="10"/>
      <c r="K635" s="3"/>
    </row>
    <row r="636" spans="1:11" x14ac:dyDescent="0.25">
      <c r="A636" s="10">
        <v>767</v>
      </c>
      <c r="B636" s="4" t="s">
        <v>597</v>
      </c>
      <c r="C636" s="24" t="s">
        <v>702</v>
      </c>
      <c r="D636" s="10">
        <v>8173</v>
      </c>
      <c r="E636" s="10"/>
      <c r="F636" s="64" t="s">
        <v>558</v>
      </c>
      <c r="G636" s="10"/>
      <c r="H636" s="75">
        <v>40652</v>
      </c>
      <c r="I636" s="10"/>
      <c r="J636" s="10"/>
      <c r="K636" s="3"/>
    </row>
    <row r="637" spans="1:11" x14ac:dyDescent="0.25">
      <c r="A637" s="10">
        <v>768</v>
      </c>
      <c r="B637" s="4" t="s">
        <v>597</v>
      </c>
      <c r="C637" s="24" t="s">
        <v>703</v>
      </c>
      <c r="D637" s="10">
        <v>8173</v>
      </c>
      <c r="E637" s="10"/>
      <c r="F637" s="64" t="s">
        <v>558</v>
      </c>
      <c r="G637" s="10"/>
      <c r="H637" s="75">
        <v>40652</v>
      </c>
      <c r="I637" s="10"/>
      <c r="J637" s="10"/>
      <c r="K637" s="3"/>
    </row>
    <row r="638" spans="1:11" x14ac:dyDescent="0.25">
      <c r="A638" s="10">
        <v>769</v>
      </c>
      <c r="B638" s="4" t="s">
        <v>597</v>
      </c>
      <c r="C638" s="24" t="s">
        <v>704</v>
      </c>
      <c r="D638" s="10">
        <v>8173</v>
      </c>
      <c r="E638" s="10"/>
      <c r="F638" s="64" t="s">
        <v>558</v>
      </c>
      <c r="G638" s="10"/>
      <c r="H638" s="75">
        <v>40652</v>
      </c>
      <c r="I638" s="10"/>
      <c r="J638" s="10"/>
      <c r="K638" s="3"/>
    </row>
    <row r="639" spans="1:11" x14ac:dyDescent="0.25">
      <c r="A639" s="10">
        <v>770</v>
      </c>
      <c r="B639" s="4" t="s">
        <v>597</v>
      </c>
      <c r="C639" s="24" t="s">
        <v>705</v>
      </c>
      <c r="D639" s="10">
        <v>8173</v>
      </c>
      <c r="E639" s="10"/>
      <c r="F639" s="64" t="s">
        <v>558</v>
      </c>
      <c r="G639" s="10"/>
      <c r="H639" s="75">
        <v>40652</v>
      </c>
      <c r="I639" s="10"/>
      <c r="J639" s="10"/>
      <c r="K639" s="3"/>
    </row>
    <row r="640" spans="1:11" x14ac:dyDescent="0.25">
      <c r="A640" s="10">
        <v>771</v>
      </c>
      <c r="B640" s="4" t="s">
        <v>597</v>
      </c>
      <c r="C640" s="24" t="s">
        <v>706</v>
      </c>
      <c r="D640" s="10">
        <v>8173</v>
      </c>
      <c r="E640" s="10"/>
      <c r="F640" s="64" t="s">
        <v>558</v>
      </c>
      <c r="G640" s="10"/>
      <c r="H640" s="75">
        <v>40652</v>
      </c>
      <c r="I640" s="10"/>
      <c r="J640" s="10"/>
      <c r="K640" s="3"/>
    </row>
    <row r="641" spans="1:11" x14ac:dyDescent="0.25">
      <c r="A641" s="10">
        <v>772</v>
      </c>
      <c r="B641" s="4" t="s">
        <v>597</v>
      </c>
      <c r="C641" s="24" t="s">
        <v>707</v>
      </c>
      <c r="D641" s="10">
        <v>8173</v>
      </c>
      <c r="E641" s="10"/>
      <c r="F641" s="64" t="s">
        <v>558</v>
      </c>
      <c r="G641" s="10"/>
      <c r="H641" s="75">
        <v>40652</v>
      </c>
      <c r="I641" s="10"/>
      <c r="J641" s="10"/>
      <c r="K641" s="3"/>
    </row>
    <row r="642" spans="1:11" x14ac:dyDescent="0.25">
      <c r="A642" s="10">
        <v>773</v>
      </c>
      <c r="B642" s="4" t="s">
        <v>597</v>
      </c>
      <c r="C642" s="24" t="s">
        <v>708</v>
      </c>
      <c r="D642" s="10">
        <v>8173</v>
      </c>
      <c r="E642" s="10"/>
      <c r="F642" s="64" t="s">
        <v>558</v>
      </c>
      <c r="G642" s="10"/>
      <c r="H642" s="75">
        <v>40652</v>
      </c>
      <c r="I642" s="10"/>
      <c r="J642" s="10"/>
      <c r="K642" s="3"/>
    </row>
    <row r="643" spans="1:11" x14ac:dyDescent="0.25">
      <c r="A643" s="10">
        <v>774</v>
      </c>
      <c r="B643" s="4" t="s">
        <v>597</v>
      </c>
      <c r="C643" s="24" t="s">
        <v>709</v>
      </c>
      <c r="D643" s="10">
        <v>8173</v>
      </c>
      <c r="E643" s="10"/>
      <c r="F643" s="64" t="s">
        <v>558</v>
      </c>
      <c r="G643" s="10"/>
      <c r="H643" s="75">
        <v>40652</v>
      </c>
      <c r="I643" s="10"/>
      <c r="J643" s="10"/>
      <c r="K643" s="3"/>
    </row>
    <row r="644" spans="1:11" x14ac:dyDescent="0.25">
      <c r="A644" s="10">
        <v>775</v>
      </c>
      <c r="B644" s="4" t="s">
        <v>597</v>
      </c>
      <c r="C644" s="24" t="s">
        <v>710</v>
      </c>
      <c r="D644" s="10">
        <v>8173</v>
      </c>
      <c r="E644" s="10"/>
      <c r="F644" s="64" t="s">
        <v>558</v>
      </c>
      <c r="G644" s="10"/>
      <c r="H644" s="75">
        <v>40652</v>
      </c>
      <c r="I644" s="10"/>
      <c r="J644" s="10"/>
      <c r="K644" s="3"/>
    </row>
    <row r="645" spans="1:11" x14ac:dyDescent="0.25">
      <c r="A645" s="10">
        <v>776</v>
      </c>
      <c r="B645" s="4" t="s">
        <v>597</v>
      </c>
      <c r="C645" s="24" t="s">
        <v>711</v>
      </c>
      <c r="D645" s="10">
        <v>8173</v>
      </c>
      <c r="E645" s="10"/>
      <c r="F645" s="64" t="s">
        <v>558</v>
      </c>
      <c r="G645" s="10"/>
      <c r="H645" s="75">
        <v>40652</v>
      </c>
      <c r="I645" s="10"/>
      <c r="J645" s="10"/>
      <c r="K645" s="3"/>
    </row>
    <row r="646" spans="1:11" x14ac:dyDescent="0.25">
      <c r="A646" s="10">
        <v>777</v>
      </c>
      <c r="B646" s="4" t="s">
        <v>597</v>
      </c>
      <c r="C646" s="24" t="s">
        <v>712</v>
      </c>
      <c r="D646" s="10">
        <v>8173</v>
      </c>
      <c r="E646" s="10"/>
      <c r="F646" s="64" t="s">
        <v>558</v>
      </c>
      <c r="G646" s="10"/>
      <c r="H646" s="75">
        <v>40652</v>
      </c>
      <c r="I646" s="10"/>
      <c r="J646" s="10"/>
      <c r="K646" s="3"/>
    </row>
    <row r="647" spans="1:11" x14ac:dyDescent="0.25">
      <c r="A647" s="10">
        <v>778</v>
      </c>
      <c r="B647" s="4" t="s">
        <v>597</v>
      </c>
      <c r="C647" s="24" t="s">
        <v>713</v>
      </c>
      <c r="D647" s="10" t="s">
        <v>10</v>
      </c>
      <c r="E647" s="10"/>
      <c r="F647" s="64" t="s">
        <v>558</v>
      </c>
      <c r="G647" s="10"/>
      <c r="H647" s="75">
        <v>41032</v>
      </c>
      <c r="I647" s="10"/>
      <c r="J647" s="10"/>
      <c r="K647" s="3"/>
    </row>
    <row r="648" spans="1:11" x14ac:dyDescent="0.25">
      <c r="A648" s="10">
        <v>779</v>
      </c>
      <c r="B648" s="4" t="s">
        <v>597</v>
      </c>
      <c r="C648" s="24" t="s">
        <v>714</v>
      </c>
      <c r="D648" s="10" t="s">
        <v>10</v>
      </c>
      <c r="E648" s="10"/>
      <c r="F648" s="64" t="s">
        <v>558</v>
      </c>
      <c r="G648" s="10"/>
      <c r="H648" s="75">
        <v>41032</v>
      </c>
      <c r="I648" s="10"/>
      <c r="J648" s="10"/>
      <c r="K648" s="3"/>
    </row>
    <row r="649" spans="1:11" x14ac:dyDescent="0.25">
      <c r="A649" s="10">
        <v>780</v>
      </c>
      <c r="B649" s="4" t="s">
        <v>596</v>
      </c>
      <c r="C649" s="24" t="s">
        <v>715</v>
      </c>
      <c r="D649" s="10">
        <v>8175</v>
      </c>
      <c r="E649" s="10"/>
      <c r="F649" s="64" t="s">
        <v>389</v>
      </c>
      <c r="G649" s="10"/>
      <c r="H649" s="75">
        <v>41044</v>
      </c>
      <c r="I649" s="10"/>
      <c r="J649" s="10"/>
      <c r="K649" s="3"/>
    </row>
    <row r="650" spans="1:11" x14ac:dyDescent="0.25">
      <c r="A650" s="10">
        <v>781</v>
      </c>
      <c r="B650" s="4" t="s">
        <v>597</v>
      </c>
      <c r="C650" s="23" t="s">
        <v>716</v>
      </c>
      <c r="D650" s="10">
        <v>8175</v>
      </c>
      <c r="E650" s="10"/>
      <c r="F650" s="64" t="s">
        <v>558</v>
      </c>
      <c r="G650" s="10"/>
      <c r="H650" s="75">
        <v>41044</v>
      </c>
      <c r="I650" s="10"/>
      <c r="J650" s="10"/>
      <c r="K650" s="3"/>
    </row>
    <row r="651" spans="1:11" x14ac:dyDescent="0.25">
      <c r="A651" s="10">
        <v>782</v>
      </c>
      <c r="B651" s="4" t="s">
        <v>597</v>
      </c>
      <c r="C651" s="24" t="s">
        <v>717</v>
      </c>
      <c r="D651" s="10">
        <v>8175</v>
      </c>
      <c r="E651" s="10"/>
      <c r="F651" s="64" t="s">
        <v>558</v>
      </c>
      <c r="G651" s="10"/>
      <c r="H651" s="75">
        <v>41044</v>
      </c>
      <c r="I651" s="10"/>
      <c r="J651" s="10"/>
      <c r="K651" s="3"/>
    </row>
    <row r="652" spans="1:11" x14ac:dyDescent="0.25">
      <c r="A652" s="10">
        <v>783</v>
      </c>
      <c r="B652" s="4" t="s">
        <v>597</v>
      </c>
      <c r="C652" s="24" t="s">
        <v>718</v>
      </c>
      <c r="D652" s="10">
        <v>8175</v>
      </c>
      <c r="E652" s="10"/>
      <c r="F652" s="64" t="s">
        <v>558</v>
      </c>
      <c r="G652" s="10"/>
      <c r="H652" s="75">
        <v>41044</v>
      </c>
      <c r="I652" s="10"/>
      <c r="J652" s="10"/>
      <c r="K652" s="3"/>
    </row>
    <row r="653" spans="1:11" x14ac:dyDescent="0.25">
      <c r="A653" s="10">
        <v>784</v>
      </c>
      <c r="B653" s="33" t="s">
        <v>597</v>
      </c>
      <c r="C653" s="45" t="s">
        <v>722</v>
      </c>
      <c r="D653" s="10" t="s">
        <v>719</v>
      </c>
      <c r="E653" s="10"/>
      <c r="F653" s="64" t="s">
        <v>560</v>
      </c>
      <c r="G653" s="10"/>
      <c r="H653" s="75">
        <v>41068</v>
      </c>
      <c r="I653" s="10"/>
      <c r="J653" s="10"/>
      <c r="K653" s="3"/>
    </row>
    <row r="654" spans="1:11" x14ac:dyDescent="0.25">
      <c r="A654" s="10">
        <v>785</v>
      </c>
      <c r="B654" s="33" t="s">
        <v>597</v>
      </c>
      <c r="C654" s="45" t="s">
        <v>720</v>
      </c>
      <c r="D654" s="10">
        <v>8154</v>
      </c>
      <c r="E654" s="10"/>
      <c r="F654" s="64" t="s">
        <v>560</v>
      </c>
      <c r="G654" s="10"/>
      <c r="H654" s="75">
        <v>41072</v>
      </c>
      <c r="I654" s="10"/>
      <c r="J654" s="10"/>
      <c r="K654" s="3"/>
    </row>
    <row r="655" spans="1:11" x14ac:dyDescent="0.25">
      <c r="A655" s="10">
        <v>786</v>
      </c>
      <c r="B655" s="33" t="s">
        <v>597</v>
      </c>
      <c r="C655" s="45" t="s">
        <v>721</v>
      </c>
      <c r="D655" s="10">
        <v>8154</v>
      </c>
      <c r="E655" s="10"/>
      <c r="F655" s="64" t="s">
        <v>560</v>
      </c>
      <c r="G655" s="10"/>
      <c r="H655" s="75">
        <v>41072</v>
      </c>
      <c r="I655" s="10"/>
      <c r="J655" s="10"/>
      <c r="K655" s="3"/>
    </row>
    <row r="656" spans="1:11" x14ac:dyDescent="0.25">
      <c r="A656" s="10">
        <v>787</v>
      </c>
      <c r="B656" s="33" t="s">
        <v>597</v>
      </c>
      <c r="C656" s="50" t="s">
        <v>723</v>
      </c>
      <c r="D656" s="10">
        <v>8186</v>
      </c>
      <c r="E656" s="10"/>
      <c r="F656" s="64" t="s">
        <v>558</v>
      </c>
      <c r="G656" s="10"/>
      <c r="H656" s="75">
        <v>41072</v>
      </c>
      <c r="I656" s="10"/>
      <c r="J656" s="10"/>
      <c r="K656" s="3"/>
    </row>
    <row r="657" spans="1:11" x14ac:dyDescent="0.25">
      <c r="A657" s="10">
        <v>788</v>
      </c>
      <c r="B657" s="33" t="s">
        <v>597</v>
      </c>
      <c r="C657" s="50" t="s">
        <v>724</v>
      </c>
      <c r="D657" s="10">
        <v>8186</v>
      </c>
      <c r="E657" s="10"/>
      <c r="F657" s="64" t="s">
        <v>558</v>
      </c>
      <c r="G657" s="10"/>
      <c r="H657" s="75">
        <v>41072</v>
      </c>
      <c r="I657" s="10"/>
      <c r="J657" s="10"/>
      <c r="K657" s="3"/>
    </row>
    <row r="658" spans="1:11" x14ac:dyDescent="0.25">
      <c r="A658" s="10">
        <v>789</v>
      </c>
      <c r="B658" s="33" t="s">
        <v>597</v>
      </c>
      <c r="C658" s="50" t="s">
        <v>725</v>
      </c>
      <c r="D658" s="10">
        <v>8186</v>
      </c>
      <c r="E658" s="10"/>
      <c r="F658" s="64" t="s">
        <v>558</v>
      </c>
      <c r="G658" s="10"/>
      <c r="H658" s="75">
        <v>41072</v>
      </c>
      <c r="I658" s="10"/>
      <c r="J658" s="10"/>
      <c r="K658" s="3"/>
    </row>
    <row r="659" spans="1:11" x14ac:dyDescent="0.25">
      <c r="A659" s="10">
        <v>790</v>
      </c>
      <c r="B659" s="4" t="s">
        <v>596</v>
      </c>
      <c r="C659" s="50" t="s">
        <v>726</v>
      </c>
      <c r="D659" s="10">
        <v>8186</v>
      </c>
      <c r="E659" s="10"/>
      <c r="F659" s="60" t="s">
        <v>389</v>
      </c>
      <c r="G659" s="10"/>
      <c r="H659" s="75">
        <v>41072</v>
      </c>
      <c r="I659" s="10"/>
      <c r="J659" s="10"/>
      <c r="K659" s="3"/>
    </row>
    <row r="660" spans="1:11" x14ac:dyDescent="0.25">
      <c r="A660" s="10">
        <v>791</v>
      </c>
      <c r="B660" s="33" t="s">
        <v>597</v>
      </c>
      <c r="C660" s="50" t="s">
        <v>729</v>
      </c>
      <c r="D660" s="10">
        <v>8191</v>
      </c>
      <c r="E660" s="10"/>
      <c r="F660" s="64" t="s">
        <v>558</v>
      </c>
      <c r="G660" s="10"/>
      <c r="H660" s="97" t="s">
        <v>728</v>
      </c>
      <c r="I660" s="10"/>
      <c r="J660" s="10"/>
      <c r="K660" s="3"/>
    </row>
    <row r="661" spans="1:11" x14ac:dyDescent="0.25">
      <c r="A661" s="10">
        <v>792</v>
      </c>
      <c r="B661" s="33" t="s">
        <v>597</v>
      </c>
      <c r="C661" s="50" t="s">
        <v>730</v>
      </c>
      <c r="D661" s="10">
        <v>8191</v>
      </c>
      <c r="E661" s="10"/>
      <c r="F661" s="64" t="s">
        <v>558</v>
      </c>
      <c r="G661" s="10"/>
      <c r="H661" s="97" t="s">
        <v>741</v>
      </c>
      <c r="I661" s="10"/>
      <c r="J661" s="10"/>
      <c r="K661" s="3"/>
    </row>
    <row r="662" spans="1:11" x14ac:dyDescent="0.25">
      <c r="A662" s="10">
        <v>793</v>
      </c>
      <c r="B662" s="33" t="s">
        <v>597</v>
      </c>
      <c r="C662" s="52" t="s">
        <v>770</v>
      </c>
      <c r="D662" s="37" t="s">
        <v>731</v>
      </c>
      <c r="E662" s="10"/>
      <c r="F662" s="60" t="s">
        <v>561</v>
      </c>
      <c r="G662" s="10"/>
      <c r="H662" s="97" t="s">
        <v>741</v>
      </c>
      <c r="I662" s="10"/>
      <c r="J662" s="10"/>
      <c r="K662" s="3"/>
    </row>
    <row r="663" spans="1:11" x14ac:dyDescent="0.25">
      <c r="A663" s="10">
        <v>794</v>
      </c>
      <c r="B663" s="33" t="s">
        <v>597</v>
      </c>
      <c r="C663" s="52" t="s">
        <v>771</v>
      </c>
      <c r="D663" s="37" t="s">
        <v>731</v>
      </c>
      <c r="E663" s="10"/>
      <c r="F663" s="60" t="s">
        <v>561</v>
      </c>
      <c r="G663" s="10"/>
      <c r="H663" s="97" t="s">
        <v>741</v>
      </c>
      <c r="I663" s="10"/>
      <c r="J663" s="10"/>
      <c r="K663" s="3"/>
    </row>
    <row r="664" spans="1:11" x14ac:dyDescent="0.25">
      <c r="A664" s="10">
        <v>795</v>
      </c>
      <c r="B664" s="4" t="s">
        <v>597</v>
      </c>
      <c r="C664" s="24" t="s">
        <v>732</v>
      </c>
      <c r="D664" s="10">
        <v>8193</v>
      </c>
      <c r="E664" s="10"/>
      <c r="F664" s="64" t="s">
        <v>562</v>
      </c>
      <c r="G664" s="10"/>
      <c r="H664" s="75">
        <v>41116</v>
      </c>
      <c r="I664" s="10"/>
      <c r="J664" s="10"/>
      <c r="K664" s="3"/>
    </row>
    <row r="665" spans="1:11" x14ac:dyDescent="0.25">
      <c r="A665" s="10">
        <v>796</v>
      </c>
      <c r="B665" s="4" t="s">
        <v>597</v>
      </c>
      <c r="C665" s="24" t="s">
        <v>733</v>
      </c>
      <c r="D665" s="10">
        <v>8193</v>
      </c>
      <c r="E665" s="10"/>
      <c r="F665" s="64" t="s">
        <v>490</v>
      </c>
      <c r="G665" s="10"/>
      <c r="H665" s="75">
        <v>41116</v>
      </c>
      <c r="I665" s="10"/>
      <c r="J665" s="10"/>
      <c r="K665" s="3"/>
    </row>
    <row r="666" spans="1:11" x14ac:dyDescent="0.25">
      <c r="A666" s="10">
        <v>797</v>
      </c>
      <c r="B666" s="4" t="s">
        <v>597</v>
      </c>
      <c r="C666" s="45" t="s">
        <v>735</v>
      </c>
      <c r="D666" s="10">
        <v>8170</v>
      </c>
      <c r="E666" s="10"/>
      <c r="F666" s="60" t="s">
        <v>560</v>
      </c>
      <c r="G666" s="10"/>
      <c r="H666" s="97" t="s">
        <v>734</v>
      </c>
      <c r="I666" s="10"/>
      <c r="J666" s="10"/>
      <c r="K666" s="3"/>
    </row>
    <row r="667" spans="1:11" x14ac:dyDescent="0.25">
      <c r="A667" s="10">
        <v>798</v>
      </c>
      <c r="B667" s="4" t="s">
        <v>597</v>
      </c>
      <c r="C667" s="45" t="s">
        <v>736</v>
      </c>
      <c r="D667" s="10">
        <v>8170</v>
      </c>
      <c r="E667" s="10"/>
      <c r="F667" s="60" t="s">
        <v>560</v>
      </c>
      <c r="G667" s="10"/>
      <c r="H667" s="97" t="s">
        <v>734</v>
      </c>
      <c r="I667" s="10"/>
      <c r="J667" s="10"/>
      <c r="K667" s="3"/>
    </row>
    <row r="668" spans="1:11" x14ac:dyDescent="0.25">
      <c r="A668" s="10">
        <v>799</v>
      </c>
      <c r="B668" s="4" t="s">
        <v>597</v>
      </c>
      <c r="C668" s="45" t="s">
        <v>737</v>
      </c>
      <c r="D668" s="10">
        <v>8170</v>
      </c>
      <c r="E668" s="10"/>
      <c r="F668" s="60" t="s">
        <v>560</v>
      </c>
      <c r="G668" s="10"/>
      <c r="H668" s="97" t="s">
        <v>734</v>
      </c>
      <c r="I668" s="10"/>
      <c r="J668" s="10"/>
      <c r="K668" s="3"/>
    </row>
    <row r="669" spans="1:11" x14ac:dyDescent="0.25">
      <c r="A669" s="10">
        <v>800</v>
      </c>
      <c r="B669" s="33" t="s">
        <v>597</v>
      </c>
      <c r="C669" s="52" t="s">
        <v>745</v>
      </c>
      <c r="D669" s="10">
        <v>8193</v>
      </c>
      <c r="E669" s="10"/>
      <c r="F669" s="60" t="s">
        <v>558</v>
      </c>
      <c r="G669" s="10"/>
      <c r="H669" s="75">
        <v>41136</v>
      </c>
      <c r="I669" s="10"/>
      <c r="J669" s="10"/>
      <c r="K669" s="3"/>
    </row>
    <row r="670" spans="1:11" x14ac:dyDescent="0.25">
      <c r="A670" s="10">
        <v>801</v>
      </c>
      <c r="B670" s="33" t="s">
        <v>597</v>
      </c>
      <c r="C670" s="52" t="s">
        <v>746</v>
      </c>
      <c r="D670" s="10">
        <v>8193</v>
      </c>
      <c r="E670" s="10"/>
      <c r="F670" s="60" t="s">
        <v>558</v>
      </c>
      <c r="G670" s="10"/>
      <c r="H670" s="75">
        <v>41136</v>
      </c>
      <c r="I670" s="10"/>
      <c r="J670" s="10"/>
      <c r="K670" s="3"/>
    </row>
    <row r="671" spans="1:11" x14ac:dyDescent="0.25">
      <c r="A671" s="10">
        <v>802</v>
      </c>
      <c r="B671" s="33" t="s">
        <v>597</v>
      </c>
      <c r="C671" s="52" t="s">
        <v>823</v>
      </c>
      <c r="D671" s="10">
        <v>8202</v>
      </c>
      <c r="E671" s="10"/>
      <c r="F671" s="64" t="s">
        <v>558</v>
      </c>
      <c r="G671" s="10"/>
      <c r="H671" s="75">
        <v>41171</v>
      </c>
      <c r="I671" s="10"/>
      <c r="J671" s="10"/>
      <c r="K671" s="3"/>
    </row>
    <row r="672" spans="1:11" x14ac:dyDescent="0.25">
      <c r="A672" s="10">
        <v>803</v>
      </c>
      <c r="B672" s="33" t="s">
        <v>597</v>
      </c>
      <c r="C672" s="52" t="s">
        <v>824</v>
      </c>
      <c r="D672" s="10">
        <v>8202</v>
      </c>
      <c r="E672" s="10"/>
      <c r="F672" s="64" t="s">
        <v>558</v>
      </c>
      <c r="G672" s="10"/>
      <c r="H672" s="75">
        <v>41171</v>
      </c>
      <c r="I672" s="10"/>
      <c r="J672" s="10"/>
      <c r="K672" s="3"/>
    </row>
    <row r="673" spans="1:11" x14ac:dyDescent="0.25">
      <c r="A673" s="10">
        <v>804</v>
      </c>
      <c r="B673" s="33" t="s">
        <v>597</v>
      </c>
      <c r="C673" s="52" t="s">
        <v>825</v>
      </c>
      <c r="D673" s="10">
        <v>8202</v>
      </c>
      <c r="E673" s="10"/>
      <c r="F673" s="64" t="s">
        <v>558</v>
      </c>
      <c r="G673" s="10"/>
      <c r="H673" s="75">
        <v>41171</v>
      </c>
      <c r="I673" s="10"/>
      <c r="J673" s="10"/>
      <c r="K673" s="3"/>
    </row>
    <row r="674" spans="1:11" x14ac:dyDescent="0.25">
      <c r="A674" s="10">
        <v>805</v>
      </c>
      <c r="B674" s="33" t="s">
        <v>597</v>
      </c>
      <c r="C674" s="52" t="s">
        <v>826</v>
      </c>
      <c r="D674" s="10">
        <v>8202</v>
      </c>
      <c r="E674" s="10"/>
      <c r="F674" s="64" t="s">
        <v>558</v>
      </c>
      <c r="G674" s="10"/>
      <c r="H674" s="75">
        <v>41171</v>
      </c>
      <c r="I674" s="10"/>
      <c r="J674" s="10"/>
      <c r="K674" s="3"/>
    </row>
    <row r="675" spans="1:11" x14ac:dyDescent="0.25">
      <c r="A675" s="10">
        <v>806</v>
      </c>
      <c r="B675" s="4" t="s">
        <v>597</v>
      </c>
      <c r="C675" s="45" t="s">
        <v>749</v>
      </c>
      <c r="D675" s="10">
        <v>8191</v>
      </c>
      <c r="E675" s="10"/>
      <c r="F675" s="64" t="s">
        <v>558</v>
      </c>
      <c r="G675" s="10"/>
      <c r="H675" s="75">
        <v>41160</v>
      </c>
      <c r="I675" s="10"/>
      <c r="J675" s="10"/>
      <c r="K675" s="3"/>
    </row>
    <row r="676" spans="1:11" x14ac:dyDescent="0.25">
      <c r="A676" s="10">
        <v>807</v>
      </c>
      <c r="B676" s="4" t="s">
        <v>597</v>
      </c>
      <c r="C676" s="45" t="s">
        <v>750</v>
      </c>
      <c r="D676" s="10">
        <v>8191</v>
      </c>
      <c r="E676" s="10"/>
      <c r="F676" s="64" t="s">
        <v>558</v>
      </c>
      <c r="G676" s="10"/>
      <c r="H676" s="75">
        <v>41160</v>
      </c>
      <c r="I676" s="10"/>
      <c r="J676" s="10"/>
      <c r="K676" s="3"/>
    </row>
    <row r="677" spans="1:11" x14ac:dyDescent="0.25">
      <c r="A677" s="10">
        <v>808</v>
      </c>
      <c r="B677" s="4" t="s">
        <v>597</v>
      </c>
      <c r="C677" s="45" t="s">
        <v>751</v>
      </c>
      <c r="D677" s="10">
        <v>8191</v>
      </c>
      <c r="E677" s="10"/>
      <c r="F677" s="64" t="s">
        <v>558</v>
      </c>
      <c r="G677" s="10"/>
      <c r="H677" s="75">
        <v>41160</v>
      </c>
      <c r="I677" s="10"/>
      <c r="J677" s="10"/>
      <c r="K677" s="3"/>
    </row>
    <row r="678" spans="1:11" x14ac:dyDescent="0.25">
      <c r="A678" s="10">
        <v>809</v>
      </c>
      <c r="B678" s="4" t="s">
        <v>597</v>
      </c>
      <c r="C678" s="45" t="s">
        <v>752</v>
      </c>
      <c r="D678" s="10">
        <v>8191</v>
      </c>
      <c r="E678" s="10"/>
      <c r="F678" s="64" t="s">
        <v>558</v>
      </c>
      <c r="G678" s="10"/>
      <c r="H678" s="75">
        <v>41160</v>
      </c>
      <c r="I678" s="10"/>
      <c r="J678" s="10"/>
      <c r="K678" s="3"/>
    </row>
    <row r="679" spans="1:11" x14ac:dyDescent="0.25">
      <c r="A679" s="10">
        <v>810</v>
      </c>
      <c r="B679" s="4" t="s">
        <v>597</v>
      </c>
      <c r="C679" s="45" t="s">
        <v>753</v>
      </c>
      <c r="D679" s="10">
        <v>8191</v>
      </c>
      <c r="E679" s="10"/>
      <c r="F679" s="64" t="s">
        <v>558</v>
      </c>
      <c r="G679" s="10"/>
      <c r="H679" s="75">
        <v>41160</v>
      </c>
      <c r="I679" s="10"/>
      <c r="J679" s="10"/>
      <c r="K679" s="3"/>
    </row>
    <row r="680" spans="1:11" x14ac:dyDescent="0.25">
      <c r="A680" s="10">
        <v>811</v>
      </c>
      <c r="B680" s="4" t="s">
        <v>597</v>
      </c>
      <c r="C680" s="45" t="s">
        <v>754</v>
      </c>
      <c r="D680" s="10">
        <v>8191</v>
      </c>
      <c r="E680" s="10"/>
      <c r="F680" s="64" t="s">
        <v>558</v>
      </c>
      <c r="G680" s="10"/>
      <c r="H680" s="75">
        <v>41160</v>
      </c>
      <c r="I680" s="10"/>
      <c r="J680" s="10"/>
      <c r="K680" s="3"/>
    </row>
    <row r="681" spans="1:11" x14ac:dyDescent="0.25">
      <c r="A681" s="10">
        <v>812</v>
      </c>
      <c r="B681" s="4" t="s">
        <v>597</v>
      </c>
      <c r="C681" s="45" t="s">
        <v>755</v>
      </c>
      <c r="D681" s="10">
        <v>8191</v>
      </c>
      <c r="E681" s="10"/>
      <c r="F681" s="64" t="s">
        <v>558</v>
      </c>
      <c r="G681" s="10"/>
      <c r="H681" s="75">
        <v>41160</v>
      </c>
      <c r="I681" s="10"/>
      <c r="J681" s="10"/>
      <c r="K681" s="3"/>
    </row>
    <row r="682" spans="1:11" x14ac:dyDescent="0.25">
      <c r="A682" s="10">
        <v>813</v>
      </c>
      <c r="B682" s="4" t="s">
        <v>597</v>
      </c>
      <c r="C682" s="45" t="s">
        <v>756</v>
      </c>
      <c r="D682" s="10">
        <v>8191</v>
      </c>
      <c r="E682" s="10"/>
      <c r="F682" s="64" t="s">
        <v>558</v>
      </c>
      <c r="G682" s="10"/>
      <c r="H682" s="75">
        <v>41160</v>
      </c>
      <c r="I682" s="10"/>
      <c r="J682" s="10"/>
      <c r="K682" s="3"/>
    </row>
    <row r="683" spans="1:11" x14ac:dyDescent="0.25">
      <c r="A683" s="10">
        <v>814</v>
      </c>
      <c r="B683" s="4" t="s">
        <v>597</v>
      </c>
      <c r="C683" s="45" t="s">
        <v>757</v>
      </c>
      <c r="D683" s="10">
        <v>8191</v>
      </c>
      <c r="E683" s="10"/>
      <c r="F683" s="64" t="s">
        <v>558</v>
      </c>
      <c r="G683" s="10"/>
      <c r="H683" s="75">
        <v>41160</v>
      </c>
      <c r="I683" s="10"/>
      <c r="J683" s="10"/>
      <c r="K683" s="3"/>
    </row>
    <row r="684" spans="1:11" x14ac:dyDescent="0.25">
      <c r="A684" s="10">
        <v>815</v>
      </c>
      <c r="B684" s="4" t="s">
        <v>597</v>
      </c>
      <c r="C684" s="45" t="s">
        <v>758</v>
      </c>
      <c r="D684" s="10">
        <v>8191</v>
      </c>
      <c r="E684" s="10"/>
      <c r="F684" s="64" t="s">
        <v>558</v>
      </c>
      <c r="G684" s="10"/>
      <c r="H684" s="75">
        <v>41160</v>
      </c>
      <c r="I684" s="10"/>
      <c r="J684" s="10"/>
      <c r="K684" s="3"/>
    </row>
    <row r="685" spans="1:11" x14ac:dyDescent="0.25">
      <c r="A685" s="37">
        <v>816</v>
      </c>
      <c r="B685" s="4" t="s">
        <v>597</v>
      </c>
      <c r="C685" s="45" t="s">
        <v>759</v>
      </c>
      <c r="D685" s="10">
        <v>8191</v>
      </c>
      <c r="E685" s="10"/>
      <c r="F685" s="64" t="s">
        <v>558</v>
      </c>
      <c r="G685" s="10"/>
      <c r="H685" s="75">
        <v>41160</v>
      </c>
      <c r="I685" s="10"/>
      <c r="J685" s="10"/>
      <c r="K685" s="3"/>
    </row>
    <row r="686" spans="1:11" x14ac:dyDescent="0.25">
      <c r="A686" s="10">
        <v>817</v>
      </c>
      <c r="B686" s="4" t="s">
        <v>597</v>
      </c>
      <c r="C686" s="45" t="s">
        <v>760</v>
      </c>
      <c r="D686" s="10">
        <v>8191</v>
      </c>
      <c r="E686" s="10"/>
      <c r="F686" s="64" t="s">
        <v>558</v>
      </c>
      <c r="G686" s="10"/>
      <c r="H686" s="75">
        <v>41160</v>
      </c>
      <c r="I686" s="10"/>
      <c r="J686" s="10"/>
      <c r="K686" s="3"/>
    </row>
    <row r="687" spans="1:11" x14ac:dyDescent="0.25">
      <c r="A687" s="10">
        <v>818</v>
      </c>
      <c r="B687" s="4" t="s">
        <v>597</v>
      </c>
      <c r="C687" s="45" t="s">
        <v>761</v>
      </c>
      <c r="D687" s="10">
        <v>8191</v>
      </c>
      <c r="E687" s="10"/>
      <c r="F687" s="64" t="s">
        <v>558</v>
      </c>
      <c r="G687" s="10"/>
      <c r="H687" s="75">
        <v>41160</v>
      </c>
      <c r="I687" s="10"/>
      <c r="J687" s="10"/>
      <c r="K687" s="3"/>
    </row>
    <row r="688" spans="1:11" x14ac:dyDescent="0.25">
      <c r="A688" s="10">
        <v>819</v>
      </c>
      <c r="B688" s="4" t="s">
        <v>597</v>
      </c>
      <c r="C688" s="45" t="s">
        <v>763</v>
      </c>
      <c r="D688" s="10">
        <v>8191</v>
      </c>
      <c r="E688" s="10"/>
      <c r="F688" s="64" t="s">
        <v>558</v>
      </c>
      <c r="G688" s="10"/>
      <c r="H688" s="75">
        <v>41160</v>
      </c>
      <c r="I688" s="10"/>
      <c r="J688" s="10"/>
      <c r="K688" s="3"/>
    </row>
    <row r="689" spans="1:11" x14ac:dyDescent="0.25">
      <c r="A689" s="10">
        <v>820</v>
      </c>
      <c r="B689" s="4" t="s">
        <v>597</v>
      </c>
      <c r="C689" s="3" t="s">
        <v>762</v>
      </c>
      <c r="D689" s="10">
        <v>8191</v>
      </c>
      <c r="E689" s="10"/>
      <c r="F689" s="64" t="s">
        <v>558</v>
      </c>
      <c r="G689" s="10"/>
      <c r="H689" s="75">
        <v>41160</v>
      </c>
      <c r="I689" s="10"/>
      <c r="J689" s="10"/>
      <c r="K689" s="3"/>
    </row>
    <row r="690" spans="1:11" x14ac:dyDescent="0.25">
      <c r="A690" s="10">
        <v>821</v>
      </c>
      <c r="B690" s="4" t="s">
        <v>597</v>
      </c>
      <c r="C690" s="3" t="s">
        <v>764</v>
      </c>
      <c r="D690" s="10">
        <v>8191</v>
      </c>
      <c r="E690" s="10"/>
      <c r="F690" s="64" t="s">
        <v>558</v>
      </c>
      <c r="G690" s="10"/>
      <c r="H690" s="75">
        <v>41160</v>
      </c>
      <c r="I690" s="10"/>
      <c r="J690" s="10"/>
      <c r="K690" s="3"/>
    </row>
    <row r="691" spans="1:11" x14ac:dyDescent="0.25">
      <c r="A691" s="10">
        <v>822</v>
      </c>
      <c r="B691" s="4" t="s">
        <v>597</v>
      </c>
      <c r="C691" s="3" t="s">
        <v>765</v>
      </c>
      <c r="D691" s="10">
        <v>8191</v>
      </c>
      <c r="E691" s="10"/>
      <c r="F691" s="64" t="s">
        <v>558</v>
      </c>
      <c r="G691" s="10"/>
      <c r="H691" s="75">
        <v>41160</v>
      </c>
      <c r="I691" s="10"/>
      <c r="J691" s="10"/>
      <c r="K691" s="3"/>
    </row>
    <row r="692" spans="1:11" x14ac:dyDescent="0.25">
      <c r="A692" s="10">
        <v>823</v>
      </c>
      <c r="B692" s="4" t="s">
        <v>597</v>
      </c>
      <c r="C692" s="3" t="s">
        <v>766</v>
      </c>
      <c r="D692" s="10">
        <v>8191</v>
      </c>
      <c r="E692" s="10"/>
      <c r="F692" s="64" t="s">
        <v>558</v>
      </c>
      <c r="G692" s="10"/>
      <c r="H692" s="75">
        <v>41160</v>
      </c>
      <c r="I692" s="10"/>
      <c r="J692" s="10"/>
      <c r="K692" s="3"/>
    </row>
    <row r="693" spans="1:11" x14ac:dyDescent="0.25">
      <c r="A693" s="10">
        <v>824</v>
      </c>
      <c r="B693" s="4" t="s">
        <v>597</v>
      </c>
      <c r="C693" s="3" t="s">
        <v>767</v>
      </c>
      <c r="D693" s="10">
        <v>8191</v>
      </c>
      <c r="E693" s="10"/>
      <c r="F693" s="64" t="s">
        <v>558</v>
      </c>
      <c r="G693" s="10"/>
      <c r="H693" s="75">
        <v>41160</v>
      </c>
      <c r="I693" s="10"/>
      <c r="J693" s="10"/>
      <c r="K693" s="3"/>
    </row>
    <row r="694" spans="1:11" x14ac:dyDescent="0.25">
      <c r="A694" s="10">
        <v>825</v>
      </c>
      <c r="B694" s="4" t="s">
        <v>597</v>
      </c>
      <c r="C694" s="3" t="s">
        <v>768</v>
      </c>
      <c r="D694" s="10">
        <v>8191</v>
      </c>
      <c r="E694" s="10"/>
      <c r="F694" s="64" t="s">
        <v>558</v>
      </c>
      <c r="G694" s="10"/>
      <c r="H694" s="75">
        <v>41160</v>
      </c>
      <c r="I694" s="10"/>
      <c r="J694" s="10"/>
      <c r="K694" s="3"/>
    </row>
    <row r="695" spans="1:11" x14ac:dyDescent="0.25">
      <c r="A695" s="10">
        <v>826</v>
      </c>
      <c r="B695" s="4" t="s">
        <v>597</v>
      </c>
      <c r="C695" s="3" t="s">
        <v>769</v>
      </c>
      <c r="D695" s="10">
        <v>8191</v>
      </c>
      <c r="E695" s="10"/>
      <c r="F695" s="64" t="s">
        <v>558</v>
      </c>
      <c r="G695" s="10"/>
      <c r="H695" s="75">
        <v>41160</v>
      </c>
      <c r="I695" s="10"/>
      <c r="J695" s="10"/>
      <c r="K695" s="3"/>
    </row>
    <row r="696" spans="1:11" x14ac:dyDescent="0.25">
      <c r="A696" s="10">
        <v>827</v>
      </c>
      <c r="B696" s="33" t="s">
        <v>597</v>
      </c>
      <c r="C696" t="s">
        <v>762</v>
      </c>
      <c r="D696" s="10">
        <v>8193</v>
      </c>
      <c r="E696" s="10"/>
      <c r="F696" s="64" t="s">
        <v>558</v>
      </c>
      <c r="G696" s="10"/>
      <c r="H696" s="75">
        <v>41160</v>
      </c>
      <c r="I696" s="10"/>
      <c r="J696" s="10"/>
      <c r="K696" s="3"/>
    </row>
    <row r="697" spans="1:11" x14ac:dyDescent="0.25">
      <c r="A697" s="10">
        <v>828</v>
      </c>
      <c r="B697" s="33" t="s">
        <v>596</v>
      </c>
      <c r="C697" s="52" t="s">
        <v>747</v>
      </c>
      <c r="D697" s="10">
        <v>8193</v>
      </c>
      <c r="E697" s="10"/>
      <c r="F697" s="60" t="s">
        <v>389</v>
      </c>
      <c r="G697" s="10"/>
      <c r="H697" s="75">
        <v>41160</v>
      </c>
      <c r="I697" s="10"/>
      <c r="J697" s="10"/>
      <c r="K697" s="3"/>
    </row>
    <row r="698" spans="1:11" x14ac:dyDescent="0.25">
      <c r="A698" s="10">
        <v>829</v>
      </c>
      <c r="B698" s="33" t="s">
        <v>597</v>
      </c>
      <c r="C698" s="45" t="s">
        <v>743</v>
      </c>
      <c r="D698" s="10">
        <v>8193</v>
      </c>
      <c r="E698" s="10"/>
      <c r="F698" s="60" t="s">
        <v>558</v>
      </c>
      <c r="G698" s="10"/>
      <c r="H698" s="75">
        <v>41160</v>
      </c>
      <c r="I698" s="10"/>
      <c r="J698" s="10"/>
      <c r="K698" s="3"/>
    </row>
    <row r="699" spans="1:11" x14ac:dyDescent="0.25">
      <c r="A699" s="10">
        <v>830</v>
      </c>
      <c r="B699" s="33" t="s">
        <v>597</v>
      </c>
      <c r="C699" s="45" t="s">
        <v>744</v>
      </c>
      <c r="D699" s="10">
        <v>8193</v>
      </c>
      <c r="E699" s="10"/>
      <c r="F699" s="64" t="s">
        <v>558</v>
      </c>
      <c r="G699" s="10"/>
      <c r="H699" s="75">
        <v>41160</v>
      </c>
      <c r="I699" s="10"/>
      <c r="J699" s="10"/>
      <c r="K699" s="3"/>
    </row>
    <row r="700" spans="1:11" x14ac:dyDescent="0.25">
      <c r="A700" s="10">
        <v>831</v>
      </c>
      <c r="B700" s="33" t="s">
        <v>597</v>
      </c>
      <c r="C700" s="45" t="s">
        <v>742</v>
      </c>
      <c r="D700" s="10">
        <v>8193</v>
      </c>
      <c r="E700" s="10"/>
      <c r="F700" s="64" t="s">
        <v>558</v>
      </c>
      <c r="G700" s="10"/>
      <c r="H700" s="75">
        <v>41160</v>
      </c>
      <c r="I700" s="10"/>
      <c r="J700" s="10"/>
      <c r="K700" s="3"/>
    </row>
    <row r="701" spans="1:11" x14ac:dyDescent="0.25">
      <c r="A701" s="59">
        <v>832</v>
      </c>
      <c r="B701" s="33"/>
      <c r="C701" s="45"/>
      <c r="D701" s="59"/>
      <c r="E701" s="10"/>
      <c r="F701" s="64" t="s">
        <v>558</v>
      </c>
      <c r="G701" s="10"/>
      <c r="H701" s="75"/>
      <c r="I701" s="10"/>
      <c r="J701" s="10"/>
      <c r="K701" s="3"/>
    </row>
    <row r="702" spans="1:11" x14ac:dyDescent="0.25">
      <c r="A702" s="59">
        <v>833</v>
      </c>
      <c r="B702" s="33"/>
      <c r="C702" s="45"/>
      <c r="D702" s="59"/>
      <c r="E702" s="10"/>
      <c r="F702" s="64" t="s">
        <v>558</v>
      </c>
      <c r="G702" s="10"/>
      <c r="H702" s="75"/>
      <c r="I702" s="10"/>
      <c r="J702" s="10"/>
      <c r="K702" s="3"/>
    </row>
    <row r="703" spans="1:11" x14ac:dyDescent="0.25">
      <c r="A703" s="10">
        <v>834</v>
      </c>
      <c r="B703" s="33" t="s">
        <v>596</v>
      </c>
      <c r="C703" s="52" t="s">
        <v>748</v>
      </c>
      <c r="D703" s="10">
        <v>8193</v>
      </c>
      <c r="E703" s="10"/>
      <c r="F703" s="60" t="s">
        <v>389</v>
      </c>
      <c r="G703" s="10"/>
      <c r="H703" s="75">
        <v>41160</v>
      </c>
      <c r="I703" s="10"/>
      <c r="J703" s="10"/>
      <c r="K703" s="3"/>
    </row>
    <row r="704" spans="1:11" x14ac:dyDescent="0.25">
      <c r="A704" s="10">
        <v>835</v>
      </c>
      <c r="B704" s="33" t="s">
        <v>597</v>
      </c>
      <c r="C704" s="45" t="s">
        <v>738</v>
      </c>
      <c r="D704" s="10">
        <v>8202</v>
      </c>
      <c r="E704" s="10"/>
      <c r="F704" s="64" t="s">
        <v>559</v>
      </c>
      <c r="G704" s="10"/>
      <c r="H704" s="75">
        <v>41160</v>
      </c>
      <c r="I704" s="10"/>
      <c r="J704" s="10"/>
      <c r="K704" s="3"/>
    </row>
    <row r="705" spans="1:11" x14ac:dyDescent="0.25">
      <c r="A705" s="10">
        <v>836</v>
      </c>
      <c r="B705" s="33" t="s">
        <v>597</v>
      </c>
      <c r="C705" s="45" t="s">
        <v>739</v>
      </c>
      <c r="D705" s="10">
        <v>8202</v>
      </c>
      <c r="E705" s="10"/>
      <c r="F705" s="64" t="s">
        <v>559</v>
      </c>
      <c r="G705" s="10"/>
      <c r="H705" s="75">
        <v>41160</v>
      </c>
      <c r="I705" s="10"/>
      <c r="J705" s="10"/>
      <c r="K705" s="3"/>
    </row>
    <row r="706" spans="1:11" x14ac:dyDescent="0.25">
      <c r="A706" s="10">
        <v>837</v>
      </c>
      <c r="B706" s="33" t="s">
        <v>597</v>
      </c>
      <c r="C706" s="45" t="s">
        <v>740</v>
      </c>
      <c r="D706" s="10">
        <v>8202</v>
      </c>
      <c r="E706" s="10"/>
      <c r="F706" s="64" t="s">
        <v>559</v>
      </c>
      <c r="G706" s="10"/>
      <c r="H706" s="75">
        <v>41160</v>
      </c>
      <c r="I706" s="10"/>
      <c r="J706" s="10"/>
      <c r="K706" s="3"/>
    </row>
    <row r="707" spans="1:11" x14ac:dyDescent="0.25">
      <c r="A707" s="10">
        <v>838</v>
      </c>
      <c r="B707" s="4" t="s">
        <v>597</v>
      </c>
      <c r="C707" s="24" t="s">
        <v>772</v>
      </c>
      <c r="D707" s="10">
        <v>8202</v>
      </c>
      <c r="E707" s="10"/>
      <c r="F707" s="64" t="s">
        <v>558</v>
      </c>
      <c r="G707" s="10"/>
      <c r="H707" s="75">
        <v>41171</v>
      </c>
      <c r="I707" s="10"/>
      <c r="J707" s="10"/>
      <c r="K707" s="3"/>
    </row>
    <row r="708" spans="1:11" x14ac:dyDescent="0.25">
      <c r="A708" s="10">
        <v>839</v>
      </c>
      <c r="B708" s="4" t="s">
        <v>597</v>
      </c>
      <c r="C708" s="24" t="s">
        <v>773</v>
      </c>
      <c r="D708" s="10">
        <v>8202</v>
      </c>
      <c r="E708" s="10"/>
      <c r="F708" s="64" t="s">
        <v>558</v>
      </c>
      <c r="G708" s="10"/>
      <c r="H708" s="75">
        <v>41171</v>
      </c>
      <c r="I708" s="10"/>
      <c r="J708" s="10"/>
      <c r="K708" s="3"/>
    </row>
    <row r="709" spans="1:11" x14ac:dyDescent="0.25">
      <c r="A709" s="10">
        <v>840</v>
      </c>
      <c r="B709" s="4" t="s">
        <v>597</v>
      </c>
      <c r="C709" s="24" t="s">
        <v>774</v>
      </c>
      <c r="D709" s="10">
        <v>8202</v>
      </c>
      <c r="E709" s="10"/>
      <c r="F709" s="64" t="s">
        <v>558</v>
      </c>
      <c r="G709" s="10"/>
      <c r="H709" s="75">
        <v>41171</v>
      </c>
      <c r="I709" s="10"/>
      <c r="J709" s="10"/>
      <c r="K709" s="3"/>
    </row>
    <row r="710" spans="1:11" x14ac:dyDescent="0.25">
      <c r="A710" s="10">
        <v>841</v>
      </c>
      <c r="B710" s="4" t="s">
        <v>596</v>
      </c>
      <c r="C710" s="24" t="s">
        <v>775</v>
      </c>
      <c r="D710" s="10">
        <v>8202</v>
      </c>
      <c r="E710" s="10"/>
      <c r="F710" s="64" t="s">
        <v>389</v>
      </c>
      <c r="G710" s="10"/>
      <c r="H710" s="75">
        <v>41171</v>
      </c>
      <c r="I710" s="10"/>
      <c r="J710" s="10"/>
      <c r="K710" s="3"/>
    </row>
    <row r="711" spans="1:11" x14ac:dyDescent="0.25">
      <c r="A711" s="53" t="s">
        <v>777</v>
      </c>
      <c r="B711" s="4" t="s">
        <v>597</v>
      </c>
      <c r="C711" s="24" t="s">
        <v>776</v>
      </c>
      <c r="D711" s="10">
        <v>8202</v>
      </c>
      <c r="E711" s="10"/>
      <c r="F711" s="64" t="s">
        <v>558</v>
      </c>
      <c r="G711" s="10"/>
      <c r="H711" s="75">
        <v>41171</v>
      </c>
      <c r="I711" s="10"/>
      <c r="J711" s="10"/>
      <c r="K711" s="3"/>
    </row>
    <row r="712" spans="1:11" x14ac:dyDescent="0.25">
      <c r="A712" s="53" t="s">
        <v>778</v>
      </c>
      <c r="B712" s="4" t="s">
        <v>597</v>
      </c>
      <c r="C712" s="24" t="s">
        <v>800</v>
      </c>
      <c r="D712" s="10">
        <v>8225</v>
      </c>
      <c r="E712" s="10"/>
      <c r="F712" s="64" t="s">
        <v>558</v>
      </c>
      <c r="G712" s="10"/>
      <c r="H712" s="75">
        <v>41173</v>
      </c>
      <c r="I712" s="10"/>
      <c r="J712" s="10"/>
      <c r="K712" s="3"/>
    </row>
    <row r="713" spans="1:11" x14ac:dyDescent="0.25">
      <c r="A713" s="53" t="s">
        <v>779</v>
      </c>
      <c r="B713" s="4" t="s">
        <v>597</v>
      </c>
      <c r="C713" s="24" t="s">
        <v>801</v>
      </c>
      <c r="D713" s="10">
        <v>8225</v>
      </c>
      <c r="E713" s="10"/>
      <c r="F713" s="64" t="s">
        <v>558</v>
      </c>
      <c r="G713" s="10"/>
      <c r="H713" s="75">
        <v>41173</v>
      </c>
      <c r="I713" s="10"/>
      <c r="J713" s="10"/>
      <c r="K713" s="3"/>
    </row>
    <row r="714" spans="1:11" x14ac:dyDescent="0.25">
      <c r="A714" s="53" t="s">
        <v>780</v>
      </c>
      <c r="B714" s="4" t="s">
        <v>597</v>
      </c>
      <c r="C714" s="24" t="s">
        <v>802</v>
      </c>
      <c r="D714" s="10">
        <v>8225</v>
      </c>
      <c r="E714" s="10"/>
      <c r="F714" s="64" t="s">
        <v>558</v>
      </c>
      <c r="G714" s="10"/>
      <c r="H714" s="75">
        <v>41173</v>
      </c>
      <c r="I714" s="10"/>
      <c r="J714" s="10"/>
      <c r="K714" s="3"/>
    </row>
    <row r="715" spans="1:11" x14ac:dyDescent="0.25">
      <c r="A715" s="53" t="s">
        <v>781</v>
      </c>
      <c r="B715" s="4" t="s">
        <v>596</v>
      </c>
      <c r="C715" s="24" t="s">
        <v>803</v>
      </c>
      <c r="D715" s="10">
        <v>8225</v>
      </c>
      <c r="E715" s="10"/>
      <c r="F715" s="60" t="s">
        <v>389</v>
      </c>
      <c r="G715" s="10"/>
      <c r="H715" s="75">
        <v>41173</v>
      </c>
      <c r="I715" s="10"/>
      <c r="J715" s="10"/>
      <c r="K715" s="3"/>
    </row>
    <row r="716" spans="1:11" x14ac:dyDescent="0.25">
      <c r="A716" s="53" t="s">
        <v>782</v>
      </c>
      <c r="B716" s="4" t="s">
        <v>597</v>
      </c>
      <c r="C716" s="24" t="s">
        <v>804</v>
      </c>
      <c r="D716" s="10">
        <v>8215</v>
      </c>
      <c r="E716" s="10"/>
      <c r="F716" s="64" t="s">
        <v>558</v>
      </c>
      <c r="G716" s="10"/>
      <c r="H716" s="75">
        <v>41178</v>
      </c>
      <c r="I716" s="10"/>
      <c r="J716" s="10"/>
      <c r="K716" s="3"/>
    </row>
    <row r="717" spans="1:11" x14ac:dyDescent="0.25">
      <c r="A717" s="53" t="s">
        <v>783</v>
      </c>
      <c r="B717" s="4" t="s">
        <v>597</v>
      </c>
      <c r="C717" s="24" t="s">
        <v>805</v>
      </c>
      <c r="D717" s="10">
        <v>8215</v>
      </c>
      <c r="E717" s="10"/>
      <c r="F717" s="64" t="s">
        <v>558</v>
      </c>
      <c r="G717" s="10"/>
      <c r="H717" s="75">
        <v>41178</v>
      </c>
      <c r="I717" s="10"/>
      <c r="J717" s="10"/>
      <c r="K717" s="3"/>
    </row>
    <row r="718" spans="1:11" x14ac:dyDescent="0.25">
      <c r="A718" s="53" t="s">
        <v>784</v>
      </c>
      <c r="B718" s="4" t="s">
        <v>597</v>
      </c>
      <c r="C718" s="24" t="s">
        <v>806</v>
      </c>
      <c r="D718" s="10">
        <v>8215</v>
      </c>
      <c r="E718" s="10"/>
      <c r="F718" s="64" t="s">
        <v>558</v>
      </c>
      <c r="G718" s="10"/>
      <c r="H718" s="75">
        <v>41178</v>
      </c>
      <c r="I718" s="10"/>
      <c r="J718" s="10"/>
      <c r="K718" s="3"/>
    </row>
    <row r="719" spans="1:11" x14ac:dyDescent="0.25">
      <c r="A719" s="53" t="s">
        <v>785</v>
      </c>
      <c r="B719" s="4" t="s">
        <v>597</v>
      </c>
      <c r="C719" s="24" t="s">
        <v>807</v>
      </c>
      <c r="D719" s="10">
        <v>8215</v>
      </c>
      <c r="E719" s="10"/>
      <c r="F719" s="64" t="s">
        <v>558</v>
      </c>
      <c r="G719" s="10"/>
      <c r="H719" s="75">
        <v>41178</v>
      </c>
      <c r="I719" s="10"/>
      <c r="J719" s="10"/>
      <c r="K719" s="3"/>
    </row>
    <row r="720" spans="1:11" x14ac:dyDescent="0.25">
      <c r="A720" s="53" t="s">
        <v>786</v>
      </c>
      <c r="B720" s="4" t="s">
        <v>597</v>
      </c>
      <c r="C720" s="24" t="s">
        <v>808</v>
      </c>
      <c r="D720" s="10">
        <v>8215</v>
      </c>
      <c r="E720" s="10"/>
      <c r="F720" s="64" t="s">
        <v>558</v>
      </c>
      <c r="G720" s="10"/>
      <c r="H720" s="75">
        <v>41178</v>
      </c>
      <c r="I720" s="10"/>
      <c r="J720" s="10"/>
      <c r="K720" s="3"/>
    </row>
    <row r="721" spans="1:11" x14ac:dyDescent="0.25">
      <c r="A721" s="53" t="s">
        <v>787</v>
      </c>
      <c r="B721" s="4" t="s">
        <v>597</v>
      </c>
      <c r="C721" s="24" t="s">
        <v>809</v>
      </c>
      <c r="D721" s="10">
        <v>8215</v>
      </c>
      <c r="E721" s="10"/>
      <c r="F721" s="64" t="s">
        <v>558</v>
      </c>
      <c r="G721" s="10"/>
      <c r="H721" s="75">
        <v>41178</v>
      </c>
      <c r="I721" s="10"/>
      <c r="J721" s="10"/>
      <c r="K721" s="3"/>
    </row>
    <row r="722" spans="1:11" x14ac:dyDescent="0.25">
      <c r="A722" s="53" t="s">
        <v>788</v>
      </c>
      <c r="B722" s="4" t="s">
        <v>597</v>
      </c>
      <c r="C722" s="24" t="s">
        <v>810</v>
      </c>
      <c r="D722" s="10">
        <v>8215</v>
      </c>
      <c r="E722" s="10"/>
      <c r="F722" s="64" t="s">
        <v>558</v>
      </c>
      <c r="G722" s="10"/>
      <c r="H722" s="75">
        <v>41178</v>
      </c>
      <c r="I722" s="10"/>
      <c r="J722" s="10"/>
      <c r="K722" s="3"/>
    </row>
    <row r="723" spans="1:11" x14ac:dyDescent="0.25">
      <c r="A723" s="53" t="s">
        <v>789</v>
      </c>
      <c r="B723" s="4" t="s">
        <v>597</v>
      </c>
      <c r="C723" s="24" t="s">
        <v>811</v>
      </c>
      <c r="D723" s="10">
        <v>8215</v>
      </c>
      <c r="E723" s="10"/>
      <c r="F723" s="64" t="s">
        <v>558</v>
      </c>
      <c r="G723" s="10"/>
      <c r="H723" s="75">
        <v>41178</v>
      </c>
      <c r="I723" s="10"/>
      <c r="J723" s="10"/>
      <c r="K723" s="3"/>
    </row>
    <row r="724" spans="1:11" x14ac:dyDescent="0.25">
      <c r="A724" s="53" t="s">
        <v>790</v>
      </c>
      <c r="B724" s="4" t="s">
        <v>597</v>
      </c>
      <c r="C724" s="24" t="s">
        <v>812</v>
      </c>
      <c r="D724" s="10">
        <v>8215</v>
      </c>
      <c r="E724" s="10"/>
      <c r="F724" s="64" t="s">
        <v>559</v>
      </c>
      <c r="G724" s="10"/>
      <c r="H724" s="75">
        <v>41178</v>
      </c>
      <c r="I724" s="10"/>
      <c r="J724" s="10"/>
      <c r="K724" s="3"/>
    </row>
    <row r="725" spans="1:11" x14ac:dyDescent="0.25">
      <c r="A725" s="53" t="s">
        <v>791</v>
      </c>
      <c r="B725" s="4" t="s">
        <v>597</v>
      </c>
      <c r="C725" s="24" t="s">
        <v>813</v>
      </c>
      <c r="D725" s="10">
        <v>8215</v>
      </c>
      <c r="E725" s="10"/>
      <c r="F725" s="64" t="s">
        <v>559</v>
      </c>
      <c r="G725" s="10"/>
      <c r="H725" s="75">
        <v>41178</v>
      </c>
      <c r="I725" s="10"/>
      <c r="J725" s="10"/>
      <c r="K725" s="3"/>
    </row>
    <row r="726" spans="1:11" x14ac:dyDescent="0.25">
      <c r="A726" s="53" t="s">
        <v>792</v>
      </c>
      <c r="B726" s="4" t="s">
        <v>597</v>
      </c>
      <c r="C726" s="24" t="s">
        <v>814</v>
      </c>
      <c r="D726" s="10">
        <v>8215</v>
      </c>
      <c r="E726" s="10"/>
      <c r="F726" s="64" t="s">
        <v>559</v>
      </c>
      <c r="G726" s="10"/>
      <c r="H726" s="75">
        <v>41178</v>
      </c>
      <c r="I726" s="10"/>
      <c r="J726" s="10"/>
      <c r="K726" s="3"/>
    </row>
    <row r="727" spans="1:11" x14ac:dyDescent="0.25">
      <c r="A727" s="53" t="s">
        <v>793</v>
      </c>
      <c r="B727" s="4" t="s">
        <v>597</v>
      </c>
      <c r="C727" s="24" t="s">
        <v>815</v>
      </c>
      <c r="D727" s="10">
        <v>8215</v>
      </c>
      <c r="E727" s="10"/>
      <c r="F727" s="64" t="s">
        <v>559</v>
      </c>
      <c r="G727" s="10"/>
      <c r="H727" s="75">
        <v>41178</v>
      </c>
      <c r="I727" s="10"/>
      <c r="J727" s="10"/>
      <c r="K727" s="3"/>
    </row>
    <row r="728" spans="1:11" x14ac:dyDescent="0.25">
      <c r="A728" s="53" t="s">
        <v>794</v>
      </c>
      <c r="B728" s="4" t="s">
        <v>597</v>
      </c>
      <c r="C728" s="24" t="s">
        <v>816</v>
      </c>
      <c r="D728" s="10">
        <v>8215</v>
      </c>
      <c r="E728" s="10"/>
      <c r="F728" s="64" t="s">
        <v>559</v>
      </c>
      <c r="G728" s="10"/>
      <c r="H728" s="75">
        <v>41178</v>
      </c>
      <c r="I728" s="10"/>
      <c r="J728" s="10"/>
      <c r="K728" s="3"/>
    </row>
    <row r="729" spans="1:11" x14ac:dyDescent="0.25">
      <c r="A729" s="53" t="s">
        <v>795</v>
      </c>
      <c r="B729" s="4" t="s">
        <v>597</v>
      </c>
      <c r="C729" s="24" t="s">
        <v>817</v>
      </c>
      <c r="D729" s="10">
        <v>8203</v>
      </c>
      <c r="E729" s="10"/>
      <c r="F729" s="64" t="s">
        <v>560</v>
      </c>
      <c r="G729" s="10"/>
      <c r="H729" s="75">
        <v>41186</v>
      </c>
      <c r="I729" s="10"/>
      <c r="J729" s="10"/>
      <c r="K729" s="3"/>
    </row>
    <row r="730" spans="1:11" x14ac:dyDescent="0.25">
      <c r="A730" s="53" t="s">
        <v>796</v>
      </c>
      <c r="B730" s="4" t="s">
        <v>597</v>
      </c>
      <c r="C730" s="24" t="s">
        <v>818</v>
      </c>
      <c r="D730" s="10">
        <v>8203</v>
      </c>
      <c r="E730" s="10"/>
      <c r="F730" s="64" t="s">
        <v>560</v>
      </c>
      <c r="G730" s="10"/>
      <c r="H730" s="75">
        <v>41186</v>
      </c>
      <c r="I730" s="10"/>
      <c r="J730" s="10"/>
      <c r="K730" s="3"/>
    </row>
    <row r="731" spans="1:11" x14ac:dyDescent="0.25">
      <c r="A731" s="53" t="s">
        <v>797</v>
      </c>
      <c r="B731" s="4" t="s">
        <v>597</v>
      </c>
      <c r="C731" s="24" t="s">
        <v>819</v>
      </c>
      <c r="D731" s="10" t="s">
        <v>822</v>
      </c>
      <c r="E731" s="10"/>
      <c r="F731" s="64" t="s">
        <v>558</v>
      </c>
      <c r="G731" s="10"/>
      <c r="H731" s="75">
        <v>41186</v>
      </c>
      <c r="I731" s="10"/>
      <c r="J731" s="10"/>
      <c r="K731" s="3"/>
    </row>
    <row r="732" spans="1:11" x14ac:dyDescent="0.25">
      <c r="A732" s="53" t="s">
        <v>798</v>
      </c>
      <c r="B732" s="4" t="s">
        <v>597</v>
      </c>
      <c r="C732" s="24" t="s">
        <v>820</v>
      </c>
      <c r="D732" s="10" t="s">
        <v>822</v>
      </c>
      <c r="E732" s="10"/>
      <c r="F732" s="64" t="s">
        <v>558</v>
      </c>
      <c r="G732" s="10"/>
      <c r="H732" s="75">
        <v>41186</v>
      </c>
      <c r="I732" s="10"/>
      <c r="J732" s="10"/>
      <c r="K732" s="3"/>
    </row>
    <row r="733" spans="1:11" x14ac:dyDescent="0.25">
      <c r="A733" s="53" t="s">
        <v>799</v>
      </c>
      <c r="B733" s="4" t="s">
        <v>597</v>
      </c>
      <c r="C733" s="24" t="s">
        <v>821</v>
      </c>
      <c r="D733" s="10" t="s">
        <v>822</v>
      </c>
      <c r="E733" s="10"/>
      <c r="F733" s="64" t="s">
        <v>558</v>
      </c>
      <c r="G733" s="10"/>
      <c r="H733" s="75">
        <v>41186</v>
      </c>
      <c r="I733" s="10"/>
      <c r="J733" s="10"/>
      <c r="K733" s="3"/>
    </row>
    <row r="734" spans="1:11" x14ac:dyDescent="0.25">
      <c r="A734" s="53" t="s">
        <v>830</v>
      </c>
      <c r="B734" s="4" t="s">
        <v>596</v>
      </c>
      <c r="C734" s="24" t="s">
        <v>994</v>
      </c>
      <c r="D734" s="10">
        <v>8234</v>
      </c>
      <c r="E734" s="10"/>
      <c r="F734" s="64" t="s">
        <v>389</v>
      </c>
      <c r="G734" s="10"/>
      <c r="H734" s="75">
        <v>41193</v>
      </c>
      <c r="I734" s="10"/>
      <c r="J734" s="10"/>
      <c r="K734" s="3"/>
    </row>
    <row r="735" spans="1:11" x14ac:dyDescent="0.25">
      <c r="A735" s="53" t="s">
        <v>831</v>
      </c>
      <c r="B735" s="4" t="s">
        <v>596</v>
      </c>
      <c r="C735" s="24" t="s">
        <v>840</v>
      </c>
      <c r="D735" s="10">
        <v>8199</v>
      </c>
      <c r="E735" s="10"/>
      <c r="F735" s="64" t="s">
        <v>389</v>
      </c>
      <c r="G735" s="10"/>
      <c r="H735" s="75">
        <v>41193</v>
      </c>
      <c r="I735" s="10"/>
      <c r="J735" s="10"/>
      <c r="K735" s="3"/>
    </row>
    <row r="736" spans="1:11" x14ac:dyDescent="0.25">
      <c r="A736" s="53" t="s">
        <v>832</v>
      </c>
      <c r="B736" s="4" t="s">
        <v>597</v>
      </c>
      <c r="C736" s="24" t="s">
        <v>839</v>
      </c>
      <c r="D736" s="10">
        <v>8199</v>
      </c>
      <c r="E736" s="10"/>
      <c r="F736" s="64" t="s">
        <v>558</v>
      </c>
      <c r="G736" s="10"/>
      <c r="H736" s="75">
        <v>41194</v>
      </c>
      <c r="I736" s="10"/>
      <c r="J736" s="10"/>
      <c r="K736" s="3"/>
    </row>
    <row r="737" spans="1:11" x14ac:dyDescent="0.25">
      <c r="A737" s="53" t="s">
        <v>833</v>
      </c>
      <c r="B737" s="4" t="s">
        <v>597</v>
      </c>
      <c r="C737" s="24" t="s">
        <v>838</v>
      </c>
      <c r="D737" s="10" t="s">
        <v>841</v>
      </c>
      <c r="E737" s="10"/>
      <c r="F737" s="64" t="s">
        <v>560</v>
      </c>
      <c r="G737" s="10"/>
      <c r="H737" s="75">
        <v>41194</v>
      </c>
      <c r="I737" s="10"/>
      <c r="J737" s="10"/>
      <c r="K737" s="3"/>
    </row>
    <row r="738" spans="1:11" x14ac:dyDescent="0.25">
      <c r="A738" s="53" t="s">
        <v>834</v>
      </c>
      <c r="B738" s="4" t="s">
        <v>597</v>
      </c>
      <c r="C738" s="24" t="s">
        <v>837</v>
      </c>
      <c r="D738" s="10" t="s">
        <v>841</v>
      </c>
      <c r="E738" s="10"/>
      <c r="F738" s="64" t="s">
        <v>560</v>
      </c>
      <c r="G738" s="10"/>
      <c r="H738" s="75">
        <v>41194</v>
      </c>
      <c r="I738" s="10"/>
      <c r="J738" s="10"/>
      <c r="K738" s="3"/>
    </row>
    <row r="739" spans="1:11" x14ac:dyDescent="0.25">
      <c r="A739" s="53" t="s">
        <v>835</v>
      </c>
      <c r="B739" s="4" t="s">
        <v>597</v>
      </c>
      <c r="C739" s="24" t="s">
        <v>836</v>
      </c>
      <c r="D739" s="10" t="s">
        <v>842</v>
      </c>
      <c r="E739" s="10"/>
      <c r="F739" s="64" t="s">
        <v>558</v>
      </c>
      <c r="G739" s="10"/>
      <c r="H739" s="75">
        <v>41204</v>
      </c>
      <c r="I739" s="10"/>
      <c r="J739" s="10"/>
      <c r="K739" s="3"/>
    </row>
    <row r="740" spans="1:11" x14ac:dyDescent="0.25">
      <c r="A740" s="53" t="s">
        <v>843</v>
      </c>
      <c r="B740" s="4" t="s">
        <v>596</v>
      </c>
      <c r="C740" s="24" t="s">
        <v>852</v>
      </c>
      <c r="D740" s="10">
        <v>8215</v>
      </c>
      <c r="E740" s="10"/>
      <c r="F740" s="64" t="s">
        <v>389</v>
      </c>
      <c r="G740" s="10"/>
      <c r="H740" s="75">
        <v>41211</v>
      </c>
      <c r="I740" s="10"/>
      <c r="J740" s="10"/>
      <c r="K740" s="3"/>
    </row>
    <row r="741" spans="1:11" x14ac:dyDescent="0.25">
      <c r="A741" s="53" t="s">
        <v>844</v>
      </c>
      <c r="B741" s="4" t="s">
        <v>596</v>
      </c>
      <c r="C741" s="24" t="s">
        <v>851</v>
      </c>
      <c r="D741" s="10">
        <v>8241</v>
      </c>
      <c r="E741" s="10"/>
      <c r="F741" s="64" t="s">
        <v>389</v>
      </c>
      <c r="G741" s="10"/>
      <c r="H741" s="75">
        <v>41215</v>
      </c>
      <c r="I741" s="10"/>
      <c r="J741" s="10"/>
      <c r="K741" s="3"/>
    </row>
    <row r="742" spans="1:11" x14ac:dyDescent="0.25">
      <c r="A742" s="53" t="s">
        <v>845</v>
      </c>
      <c r="B742" s="4" t="s">
        <v>597</v>
      </c>
      <c r="C742" s="24" t="s">
        <v>850</v>
      </c>
      <c r="D742" s="10">
        <v>8242</v>
      </c>
      <c r="E742" s="10"/>
      <c r="F742" s="64" t="s">
        <v>558</v>
      </c>
      <c r="G742" s="10"/>
      <c r="H742" s="75">
        <v>41219</v>
      </c>
      <c r="I742" s="10"/>
      <c r="J742" s="10"/>
      <c r="K742" s="3"/>
    </row>
    <row r="743" spans="1:11" x14ac:dyDescent="0.25">
      <c r="A743" s="53" t="s">
        <v>846</v>
      </c>
      <c r="B743" s="4" t="s">
        <v>597</v>
      </c>
      <c r="C743" s="24" t="s">
        <v>849</v>
      </c>
      <c r="D743" s="10">
        <v>8242</v>
      </c>
      <c r="E743" s="10"/>
      <c r="F743" s="64" t="s">
        <v>558</v>
      </c>
      <c r="G743" s="10"/>
      <c r="H743" s="75">
        <v>41219</v>
      </c>
      <c r="I743" s="10"/>
      <c r="J743" s="10"/>
      <c r="K743" s="3"/>
    </row>
    <row r="744" spans="1:11" x14ac:dyDescent="0.25">
      <c r="A744" s="53" t="s">
        <v>847</v>
      </c>
      <c r="B744" s="4" t="s">
        <v>597</v>
      </c>
      <c r="C744" s="24" t="s">
        <v>848</v>
      </c>
      <c r="D744" s="10">
        <v>8242</v>
      </c>
      <c r="E744" s="10"/>
      <c r="F744" s="64" t="s">
        <v>558</v>
      </c>
      <c r="G744" s="10"/>
      <c r="H744" s="75">
        <v>41219</v>
      </c>
      <c r="I744" s="10"/>
      <c r="J744" s="10"/>
      <c r="K744" s="3"/>
    </row>
    <row r="745" spans="1:11" x14ac:dyDescent="0.25">
      <c r="A745" s="53" t="s">
        <v>854</v>
      </c>
      <c r="B745" s="4" t="s">
        <v>596</v>
      </c>
      <c r="C745" s="24" t="s">
        <v>875</v>
      </c>
      <c r="D745" s="10">
        <v>8163</v>
      </c>
      <c r="E745" s="10"/>
      <c r="F745" s="64" t="s">
        <v>389</v>
      </c>
      <c r="G745" s="10"/>
      <c r="H745" s="75">
        <v>41228</v>
      </c>
      <c r="I745" s="10"/>
      <c r="J745" s="10"/>
      <c r="K745" s="3"/>
    </row>
    <row r="746" spans="1:11" x14ac:dyDescent="0.25">
      <c r="A746" s="51" t="s">
        <v>855</v>
      </c>
      <c r="B746" s="35" t="s">
        <v>597</v>
      </c>
      <c r="C746" s="31" t="s">
        <v>876</v>
      </c>
      <c r="D746" s="36">
        <v>8231</v>
      </c>
      <c r="E746" s="63"/>
      <c r="F746" s="89" t="s">
        <v>623</v>
      </c>
      <c r="G746" s="10"/>
      <c r="H746" s="98">
        <v>41229</v>
      </c>
      <c r="I746" s="10"/>
      <c r="J746" s="10"/>
      <c r="K746" s="3"/>
    </row>
    <row r="747" spans="1:11" x14ac:dyDescent="0.25">
      <c r="A747" s="51" t="s">
        <v>856</v>
      </c>
      <c r="B747" s="35" t="s">
        <v>597</v>
      </c>
      <c r="C747" s="31" t="s">
        <v>877</v>
      </c>
      <c r="D747" s="36">
        <v>8231</v>
      </c>
      <c r="E747" s="63"/>
      <c r="F747" s="89" t="s">
        <v>623</v>
      </c>
      <c r="G747" s="10"/>
      <c r="H747" s="98">
        <v>41231</v>
      </c>
      <c r="I747" s="10"/>
      <c r="J747" s="10"/>
      <c r="K747" s="3"/>
    </row>
    <row r="748" spans="1:11" x14ac:dyDescent="0.25">
      <c r="A748" s="70" t="s">
        <v>857</v>
      </c>
      <c r="B748" s="11" t="s">
        <v>596</v>
      </c>
      <c r="C748" s="24" t="s">
        <v>878</v>
      </c>
      <c r="D748" s="11">
        <v>8206</v>
      </c>
      <c r="E748" s="10"/>
      <c r="F748" s="68" t="s">
        <v>168</v>
      </c>
      <c r="G748" s="10"/>
      <c r="H748" s="77">
        <v>41232</v>
      </c>
      <c r="I748" s="10"/>
      <c r="J748" s="10"/>
      <c r="K748" s="3"/>
    </row>
    <row r="749" spans="1:11" x14ac:dyDescent="0.25">
      <c r="A749" s="71"/>
      <c r="B749" s="67"/>
      <c r="C749" s="24" t="s">
        <v>879</v>
      </c>
      <c r="D749" s="67"/>
      <c r="E749" s="10"/>
      <c r="F749" s="69"/>
      <c r="G749" s="10"/>
      <c r="H749" s="78"/>
      <c r="I749" s="10"/>
      <c r="J749" s="10"/>
      <c r="K749" s="3"/>
    </row>
    <row r="750" spans="1:11" x14ac:dyDescent="0.25">
      <c r="A750" s="70" t="s">
        <v>858</v>
      </c>
      <c r="B750" s="11" t="s">
        <v>596</v>
      </c>
      <c r="C750" s="24" t="s">
        <v>880</v>
      </c>
      <c r="D750" s="11">
        <v>8206</v>
      </c>
      <c r="E750" s="10"/>
      <c r="F750" s="68" t="s">
        <v>168</v>
      </c>
      <c r="G750" s="10"/>
      <c r="H750" s="77">
        <v>41232</v>
      </c>
      <c r="I750" s="10"/>
      <c r="J750" s="10"/>
      <c r="K750" s="3"/>
    </row>
    <row r="751" spans="1:11" x14ac:dyDescent="0.25">
      <c r="A751" s="71"/>
      <c r="B751" s="67"/>
      <c r="C751" s="24" t="s">
        <v>881</v>
      </c>
      <c r="D751" s="67"/>
      <c r="E751" s="10"/>
      <c r="F751" s="69"/>
      <c r="G751" s="10"/>
      <c r="H751" s="78"/>
      <c r="I751" s="10"/>
      <c r="J751" s="10"/>
      <c r="K751" s="3"/>
    </row>
    <row r="752" spans="1:11" x14ac:dyDescent="0.25">
      <c r="A752" s="70" t="s">
        <v>859</v>
      </c>
      <c r="B752" s="11" t="s">
        <v>596</v>
      </c>
      <c r="C752" s="24" t="s">
        <v>882</v>
      </c>
      <c r="D752" s="11">
        <v>8206</v>
      </c>
      <c r="E752" s="10"/>
      <c r="F752" s="68" t="s">
        <v>168</v>
      </c>
      <c r="G752" s="10"/>
      <c r="H752" s="77">
        <v>41232</v>
      </c>
      <c r="I752" s="10"/>
      <c r="J752" s="10"/>
      <c r="K752" s="3"/>
    </row>
    <row r="753" spans="1:11" x14ac:dyDescent="0.25">
      <c r="A753" s="71"/>
      <c r="B753" s="67"/>
      <c r="C753" s="24" t="s">
        <v>883</v>
      </c>
      <c r="D753" s="67"/>
      <c r="E753" s="10"/>
      <c r="F753" s="69"/>
      <c r="G753" s="10"/>
      <c r="H753" s="78"/>
      <c r="I753" s="10"/>
      <c r="J753" s="10"/>
      <c r="K753" s="3"/>
    </row>
    <row r="754" spans="1:11" x14ac:dyDescent="0.25">
      <c r="A754" s="70" t="s">
        <v>860</v>
      </c>
      <c r="B754" s="11" t="s">
        <v>596</v>
      </c>
      <c r="C754" s="24" t="s">
        <v>884</v>
      </c>
      <c r="D754" s="11">
        <v>8206</v>
      </c>
      <c r="E754" s="10"/>
      <c r="F754" s="68" t="s">
        <v>168</v>
      </c>
      <c r="G754" s="10"/>
      <c r="H754" s="77">
        <v>41232</v>
      </c>
      <c r="I754" s="10"/>
      <c r="J754" s="10"/>
      <c r="K754" s="3"/>
    </row>
    <row r="755" spans="1:11" x14ac:dyDescent="0.25">
      <c r="A755" s="71"/>
      <c r="B755" s="67"/>
      <c r="C755" s="24" t="s">
        <v>885</v>
      </c>
      <c r="D755" s="67"/>
      <c r="E755" s="10"/>
      <c r="F755" s="69"/>
      <c r="G755" s="10"/>
      <c r="H755" s="78"/>
      <c r="I755" s="10"/>
      <c r="J755" s="10"/>
      <c r="K755" s="3"/>
    </row>
    <row r="756" spans="1:11" x14ac:dyDescent="0.25">
      <c r="A756" s="70" t="s">
        <v>861</v>
      </c>
      <c r="B756" s="11" t="s">
        <v>596</v>
      </c>
      <c r="C756" s="24" t="s">
        <v>886</v>
      </c>
      <c r="D756" s="11">
        <v>8206</v>
      </c>
      <c r="E756" s="10"/>
      <c r="F756" s="68" t="s">
        <v>168</v>
      </c>
      <c r="G756" s="10"/>
      <c r="H756" s="77">
        <v>41232</v>
      </c>
      <c r="I756" s="10"/>
      <c r="J756" s="10"/>
      <c r="K756" s="3"/>
    </row>
    <row r="757" spans="1:11" x14ac:dyDescent="0.25">
      <c r="A757" s="71"/>
      <c r="B757" s="67"/>
      <c r="C757" s="24" t="s">
        <v>887</v>
      </c>
      <c r="D757" s="67"/>
      <c r="E757" s="10"/>
      <c r="F757" s="69"/>
      <c r="G757" s="10"/>
      <c r="H757" s="78"/>
      <c r="I757" s="10"/>
      <c r="J757" s="10"/>
      <c r="K757" s="3"/>
    </row>
    <row r="758" spans="1:11" x14ac:dyDescent="0.25">
      <c r="A758" s="70" t="s">
        <v>862</v>
      </c>
      <c r="B758" s="11" t="s">
        <v>596</v>
      </c>
      <c r="C758" s="24" t="s">
        <v>888</v>
      </c>
      <c r="D758" s="11">
        <v>8206</v>
      </c>
      <c r="E758" s="10"/>
      <c r="F758" s="68" t="s">
        <v>168</v>
      </c>
      <c r="G758" s="10"/>
      <c r="H758" s="77">
        <v>41232</v>
      </c>
      <c r="I758" s="10"/>
      <c r="J758" s="10"/>
      <c r="K758" s="3"/>
    </row>
    <row r="759" spans="1:11" x14ac:dyDescent="0.25">
      <c r="A759" s="71"/>
      <c r="B759" s="67"/>
      <c r="C759" s="24" t="s">
        <v>889</v>
      </c>
      <c r="D759" s="67"/>
      <c r="E759" s="10"/>
      <c r="F759" s="69"/>
      <c r="G759" s="10"/>
      <c r="H759" s="78"/>
      <c r="I759" s="10"/>
      <c r="J759" s="10"/>
      <c r="K759" s="3"/>
    </row>
    <row r="760" spans="1:11" x14ac:dyDescent="0.25">
      <c r="A760" s="53" t="s">
        <v>863</v>
      </c>
      <c r="B760" s="4" t="s">
        <v>597</v>
      </c>
      <c r="C760" s="24" t="s">
        <v>890</v>
      </c>
      <c r="D760" s="10">
        <v>8238</v>
      </c>
      <c r="E760" s="10"/>
      <c r="F760" s="64" t="s">
        <v>52</v>
      </c>
      <c r="G760" s="10"/>
      <c r="H760" s="75">
        <v>41233</v>
      </c>
      <c r="I760" s="10"/>
      <c r="J760" s="10"/>
      <c r="K760" s="3"/>
    </row>
    <row r="761" spans="1:11" x14ac:dyDescent="0.25">
      <c r="A761" s="53" t="s">
        <v>864</v>
      </c>
      <c r="B761" s="4" t="s">
        <v>597</v>
      </c>
      <c r="C761" s="24" t="s">
        <v>891</v>
      </c>
      <c r="D761" s="10">
        <v>8238</v>
      </c>
      <c r="E761" s="10"/>
      <c r="F761" s="64" t="s">
        <v>52</v>
      </c>
      <c r="G761" s="10"/>
      <c r="H761" s="75">
        <v>41233</v>
      </c>
      <c r="I761" s="10"/>
      <c r="J761" s="10"/>
      <c r="K761" s="3"/>
    </row>
    <row r="762" spans="1:11" x14ac:dyDescent="0.25">
      <c r="A762" s="53" t="s">
        <v>865</v>
      </c>
      <c r="B762" s="4" t="s">
        <v>597</v>
      </c>
      <c r="C762" s="24" t="s">
        <v>892</v>
      </c>
      <c r="D762" s="10">
        <v>8238</v>
      </c>
      <c r="E762" s="10"/>
      <c r="F762" s="64" t="s">
        <v>52</v>
      </c>
      <c r="G762" s="10"/>
      <c r="H762" s="75">
        <v>41233</v>
      </c>
      <c r="I762" s="10"/>
      <c r="J762" s="10"/>
      <c r="K762" s="3"/>
    </row>
    <row r="763" spans="1:11" x14ac:dyDescent="0.25">
      <c r="A763" s="53" t="s">
        <v>866</v>
      </c>
      <c r="B763" s="4" t="s">
        <v>597</v>
      </c>
      <c r="C763" s="24" t="s">
        <v>893</v>
      </c>
      <c r="D763" s="10">
        <v>8238</v>
      </c>
      <c r="E763" s="10"/>
      <c r="F763" s="64" t="s">
        <v>52</v>
      </c>
      <c r="G763" s="10"/>
      <c r="H763" s="75">
        <v>41233</v>
      </c>
      <c r="I763" s="10"/>
      <c r="J763" s="10"/>
      <c r="K763" s="3"/>
    </row>
    <row r="764" spans="1:11" x14ac:dyDescent="0.25">
      <c r="A764" s="53" t="s">
        <v>867</v>
      </c>
      <c r="B764" s="4" t="s">
        <v>597</v>
      </c>
      <c r="C764" s="24" t="s">
        <v>894</v>
      </c>
      <c r="D764" s="10">
        <v>8241</v>
      </c>
      <c r="E764" s="10"/>
      <c r="F764" s="64" t="s">
        <v>52</v>
      </c>
      <c r="G764" s="10"/>
      <c r="H764" s="75">
        <v>41233</v>
      </c>
      <c r="I764" s="10"/>
      <c r="J764" s="10"/>
      <c r="K764" s="3"/>
    </row>
    <row r="765" spans="1:11" x14ac:dyDescent="0.25">
      <c r="A765" s="53" t="s">
        <v>868</v>
      </c>
      <c r="B765" s="4" t="s">
        <v>597</v>
      </c>
      <c r="C765" s="24" t="s">
        <v>895</v>
      </c>
      <c r="D765" s="10">
        <v>8241</v>
      </c>
      <c r="E765" s="10"/>
      <c r="F765" s="64" t="s">
        <v>52</v>
      </c>
      <c r="G765" s="10"/>
      <c r="H765" s="75">
        <v>41233</v>
      </c>
      <c r="I765" s="10"/>
      <c r="J765" s="10"/>
      <c r="K765" s="3"/>
    </row>
    <row r="766" spans="1:11" x14ac:dyDescent="0.25">
      <c r="A766" s="53" t="s">
        <v>869</v>
      </c>
      <c r="B766" s="4" t="s">
        <v>597</v>
      </c>
      <c r="C766" s="24" t="s">
        <v>896</v>
      </c>
      <c r="D766" s="10">
        <v>8241</v>
      </c>
      <c r="E766" s="10"/>
      <c r="F766" s="64" t="s">
        <v>52</v>
      </c>
      <c r="G766" s="10"/>
      <c r="H766" s="75">
        <v>41233</v>
      </c>
      <c r="I766" s="10"/>
      <c r="J766" s="10"/>
      <c r="K766" s="3"/>
    </row>
    <row r="767" spans="1:11" x14ac:dyDescent="0.25">
      <c r="A767" s="53" t="s">
        <v>870</v>
      </c>
      <c r="B767" s="4" t="s">
        <v>597</v>
      </c>
      <c r="C767" s="24" t="s">
        <v>897</v>
      </c>
      <c r="D767" s="10">
        <v>8241</v>
      </c>
      <c r="E767" s="10"/>
      <c r="F767" s="64" t="s">
        <v>52</v>
      </c>
      <c r="G767" s="10"/>
      <c r="H767" s="75">
        <v>41233</v>
      </c>
      <c r="I767" s="10"/>
      <c r="J767" s="10"/>
      <c r="K767" s="3"/>
    </row>
    <row r="768" spans="1:11" x14ac:dyDescent="0.25">
      <c r="A768" s="53" t="s">
        <v>871</v>
      </c>
      <c r="B768" s="4" t="s">
        <v>597</v>
      </c>
      <c r="C768" s="24" t="s">
        <v>898</v>
      </c>
      <c r="D768" s="10">
        <v>8241</v>
      </c>
      <c r="E768" s="10"/>
      <c r="F768" s="64" t="s">
        <v>52</v>
      </c>
      <c r="G768" s="10"/>
      <c r="H768" s="75">
        <v>41233</v>
      </c>
      <c r="I768" s="10"/>
      <c r="J768" s="10"/>
      <c r="K768" s="3"/>
    </row>
    <row r="769" spans="1:11" x14ac:dyDescent="0.25">
      <c r="A769" s="53" t="s">
        <v>872</v>
      </c>
      <c r="B769" s="4" t="s">
        <v>596</v>
      </c>
      <c r="C769" s="24" t="s">
        <v>899</v>
      </c>
      <c r="D769" s="10">
        <v>8238</v>
      </c>
      <c r="E769" s="10"/>
      <c r="F769" s="64" t="s">
        <v>389</v>
      </c>
      <c r="G769" s="10"/>
      <c r="H769" s="75">
        <v>41239</v>
      </c>
      <c r="I769" s="10"/>
      <c r="J769" s="10"/>
      <c r="K769" s="3"/>
    </row>
    <row r="770" spans="1:11" x14ac:dyDescent="0.25">
      <c r="A770" s="53" t="s">
        <v>873</v>
      </c>
      <c r="B770" s="4" t="s">
        <v>596</v>
      </c>
      <c r="C770" s="24" t="s">
        <v>900</v>
      </c>
      <c r="D770" s="10">
        <v>8238</v>
      </c>
      <c r="E770" s="10"/>
      <c r="F770" s="64" t="s">
        <v>389</v>
      </c>
      <c r="G770" s="10"/>
      <c r="H770" s="75">
        <v>41239</v>
      </c>
      <c r="I770" s="10"/>
      <c r="J770" s="10"/>
      <c r="K770" s="3"/>
    </row>
    <row r="771" spans="1:11" x14ac:dyDescent="0.25">
      <c r="A771" s="53" t="s">
        <v>874</v>
      </c>
      <c r="B771" s="4" t="s">
        <v>597</v>
      </c>
      <c r="C771" s="24" t="s">
        <v>901</v>
      </c>
      <c r="D771" s="10" t="s">
        <v>853</v>
      </c>
      <c r="E771" s="10"/>
      <c r="F771" s="64" t="s">
        <v>51</v>
      </c>
      <c r="G771" s="10"/>
      <c r="H771" s="75">
        <v>41240</v>
      </c>
      <c r="I771" s="10"/>
      <c r="J771" s="10"/>
      <c r="K771" s="3"/>
    </row>
    <row r="772" spans="1:11" x14ac:dyDescent="0.25">
      <c r="A772" s="10">
        <v>898</v>
      </c>
      <c r="B772" s="4" t="s">
        <v>597</v>
      </c>
      <c r="C772" s="24" t="s">
        <v>902</v>
      </c>
      <c r="D772" s="10">
        <v>8244</v>
      </c>
      <c r="E772" s="10"/>
      <c r="F772" s="64" t="s">
        <v>165</v>
      </c>
      <c r="G772" s="10"/>
      <c r="H772" s="75">
        <v>41255</v>
      </c>
      <c r="I772" s="10"/>
      <c r="J772" s="10"/>
      <c r="K772" s="3"/>
    </row>
    <row r="773" spans="1:11" x14ac:dyDescent="0.25">
      <c r="A773" s="10">
        <v>899</v>
      </c>
      <c r="B773" s="4" t="s">
        <v>597</v>
      </c>
      <c r="C773" s="24" t="s">
        <v>903</v>
      </c>
      <c r="D773" s="10">
        <v>8234</v>
      </c>
      <c r="E773" s="10"/>
      <c r="F773" s="64" t="s">
        <v>52</v>
      </c>
      <c r="G773" s="10"/>
      <c r="H773" s="75">
        <v>41254</v>
      </c>
      <c r="I773" s="10"/>
      <c r="J773" s="10"/>
      <c r="K773" s="3"/>
    </row>
    <row r="774" spans="1:11" x14ac:dyDescent="0.25">
      <c r="A774" s="10">
        <v>900</v>
      </c>
      <c r="B774" s="4" t="s">
        <v>597</v>
      </c>
      <c r="C774" s="24" t="s">
        <v>905</v>
      </c>
      <c r="D774" s="10">
        <v>8234</v>
      </c>
      <c r="E774" s="10"/>
      <c r="F774" s="64" t="s">
        <v>52</v>
      </c>
      <c r="G774" s="10"/>
      <c r="H774" s="75">
        <v>41254</v>
      </c>
      <c r="I774" s="10"/>
      <c r="J774" s="10"/>
      <c r="K774" s="3"/>
    </row>
    <row r="775" spans="1:11" x14ac:dyDescent="0.25">
      <c r="A775" s="53" t="s">
        <v>906</v>
      </c>
      <c r="B775" s="4" t="s">
        <v>597</v>
      </c>
      <c r="C775" s="24" t="s">
        <v>904</v>
      </c>
      <c r="D775" s="10">
        <v>8234</v>
      </c>
      <c r="E775" s="10"/>
      <c r="F775" s="64" t="s">
        <v>52</v>
      </c>
      <c r="G775" s="10"/>
      <c r="H775" s="75">
        <v>41254</v>
      </c>
      <c r="I775" s="10"/>
      <c r="J775" s="10"/>
      <c r="K775" s="3"/>
    </row>
    <row r="776" spans="1:11" x14ac:dyDescent="0.25">
      <c r="A776" s="53" t="s">
        <v>907</v>
      </c>
      <c r="B776" s="4" t="s">
        <v>596</v>
      </c>
      <c r="C776" s="24" t="s">
        <v>914</v>
      </c>
      <c r="D776" s="10">
        <v>8250</v>
      </c>
      <c r="E776" s="10"/>
      <c r="F776" s="64" t="s">
        <v>27</v>
      </c>
      <c r="G776" s="10"/>
      <c r="H776" s="75">
        <v>41285</v>
      </c>
      <c r="I776" s="10"/>
      <c r="J776" s="10"/>
      <c r="K776" s="3"/>
    </row>
    <row r="777" spans="1:11" x14ac:dyDescent="0.25">
      <c r="A777" s="53" t="s">
        <v>908</v>
      </c>
      <c r="B777" s="4" t="s">
        <v>597</v>
      </c>
      <c r="C777" s="24" t="s">
        <v>913</v>
      </c>
      <c r="D777" s="10">
        <v>8250</v>
      </c>
      <c r="E777" s="10"/>
      <c r="F777" s="64" t="s">
        <v>52</v>
      </c>
      <c r="G777" s="10"/>
      <c r="H777" s="75">
        <v>41285</v>
      </c>
      <c r="I777" s="10"/>
      <c r="J777" s="10"/>
      <c r="K777" s="3"/>
    </row>
    <row r="778" spans="1:11" x14ac:dyDescent="0.25">
      <c r="A778" s="53" t="s">
        <v>909</v>
      </c>
      <c r="B778" s="4" t="s">
        <v>597</v>
      </c>
      <c r="C778" s="24" t="s">
        <v>912</v>
      </c>
      <c r="D778" s="10">
        <v>8250</v>
      </c>
      <c r="E778" s="10"/>
      <c r="F778" s="64" t="s">
        <v>52</v>
      </c>
      <c r="G778" s="10"/>
      <c r="H778" s="75">
        <v>41285</v>
      </c>
      <c r="I778" s="10"/>
      <c r="J778" s="10"/>
      <c r="K778" s="3"/>
    </row>
    <row r="779" spans="1:11" x14ac:dyDescent="0.25">
      <c r="A779" s="53" t="s">
        <v>910</v>
      </c>
      <c r="B779" s="4" t="s">
        <v>597</v>
      </c>
      <c r="C779" s="24" t="s">
        <v>911</v>
      </c>
      <c r="D779" s="10">
        <v>8250</v>
      </c>
      <c r="E779" s="10"/>
      <c r="F779" s="64" t="s">
        <v>52</v>
      </c>
      <c r="G779" s="10"/>
      <c r="H779" s="75">
        <v>41285</v>
      </c>
      <c r="I779" s="10"/>
      <c r="J779" s="10"/>
      <c r="K779" s="3"/>
    </row>
    <row r="780" spans="1:11" x14ac:dyDescent="0.25">
      <c r="A780" s="53" t="s">
        <v>916</v>
      </c>
      <c r="B780" s="4" t="s">
        <v>597</v>
      </c>
      <c r="C780" s="24" t="s">
        <v>932</v>
      </c>
      <c r="D780" s="10">
        <v>8216</v>
      </c>
      <c r="E780" s="10"/>
      <c r="F780" s="64" t="s">
        <v>51</v>
      </c>
      <c r="G780" s="10"/>
      <c r="H780" s="75">
        <v>41296</v>
      </c>
      <c r="I780" s="10"/>
      <c r="J780" s="10"/>
      <c r="K780" s="3"/>
    </row>
    <row r="781" spans="1:11" x14ac:dyDescent="0.25">
      <c r="A781" s="53" t="s">
        <v>917</v>
      </c>
      <c r="B781" s="4" t="s">
        <v>597</v>
      </c>
      <c r="C781" s="24" t="s">
        <v>933</v>
      </c>
      <c r="D781" s="10">
        <v>8216</v>
      </c>
      <c r="E781" s="10"/>
      <c r="F781" s="64" t="s">
        <v>51</v>
      </c>
      <c r="G781" s="10"/>
      <c r="H781" s="75">
        <v>41296</v>
      </c>
      <c r="I781" s="10"/>
      <c r="J781" s="10"/>
      <c r="K781" s="3"/>
    </row>
    <row r="782" spans="1:11" x14ac:dyDescent="0.25">
      <c r="A782" s="58" t="s">
        <v>918</v>
      </c>
      <c r="B782" s="57"/>
      <c r="C782" s="56"/>
      <c r="D782" s="59"/>
      <c r="E782" s="59"/>
      <c r="F782" s="90"/>
      <c r="G782" s="10"/>
      <c r="H782" s="99"/>
      <c r="I782" s="10"/>
      <c r="J782" s="10"/>
      <c r="K782" s="3"/>
    </row>
    <row r="783" spans="1:11" x14ac:dyDescent="0.25">
      <c r="A783" s="53" t="s">
        <v>919</v>
      </c>
      <c r="B783" s="33" t="s">
        <v>597</v>
      </c>
      <c r="C783" s="45" t="s">
        <v>946</v>
      </c>
      <c r="D783" s="10">
        <v>8206</v>
      </c>
      <c r="E783" s="10"/>
      <c r="F783" s="60" t="s">
        <v>51</v>
      </c>
      <c r="G783" s="10"/>
      <c r="H783" s="75">
        <v>41296</v>
      </c>
      <c r="I783" s="10"/>
      <c r="J783" s="10"/>
      <c r="K783" s="3"/>
    </row>
    <row r="784" spans="1:11" x14ac:dyDescent="0.25">
      <c r="A784" s="53" t="s">
        <v>920</v>
      </c>
      <c r="B784" s="33" t="s">
        <v>597</v>
      </c>
      <c r="C784" s="45" t="s">
        <v>945</v>
      </c>
      <c r="D784" s="10">
        <v>8206</v>
      </c>
      <c r="E784" s="10"/>
      <c r="F784" s="60" t="s">
        <v>51</v>
      </c>
      <c r="G784" s="10"/>
      <c r="H784" s="75">
        <v>41296</v>
      </c>
      <c r="I784" s="10"/>
      <c r="J784" s="10"/>
      <c r="K784" s="3"/>
    </row>
    <row r="785" spans="1:11" x14ac:dyDescent="0.25">
      <c r="A785" s="53" t="s">
        <v>921</v>
      </c>
      <c r="B785" s="33" t="s">
        <v>597</v>
      </c>
      <c r="C785" s="45" t="s">
        <v>944</v>
      </c>
      <c r="D785" s="10">
        <v>8233</v>
      </c>
      <c r="E785" s="10"/>
      <c r="F785" s="60" t="s">
        <v>623</v>
      </c>
      <c r="G785" s="10"/>
      <c r="H785" s="75">
        <v>41299</v>
      </c>
      <c r="I785" s="10"/>
      <c r="J785" s="10"/>
      <c r="K785" s="3"/>
    </row>
    <row r="786" spans="1:11" x14ac:dyDescent="0.25">
      <c r="A786" s="53" t="s">
        <v>922</v>
      </c>
      <c r="B786" s="33" t="s">
        <v>597</v>
      </c>
      <c r="C786" s="45" t="s">
        <v>943</v>
      </c>
      <c r="D786" s="10">
        <v>8233</v>
      </c>
      <c r="E786" s="10"/>
      <c r="F786" s="60" t="s">
        <v>623</v>
      </c>
      <c r="G786" s="10"/>
      <c r="H786" s="75">
        <v>41299</v>
      </c>
      <c r="I786" s="10"/>
      <c r="J786" s="10"/>
      <c r="K786" s="3"/>
    </row>
    <row r="787" spans="1:11" x14ac:dyDescent="0.25">
      <c r="A787" s="53" t="s">
        <v>923</v>
      </c>
      <c r="B787" s="33" t="s">
        <v>597</v>
      </c>
      <c r="C787" s="45" t="s">
        <v>942</v>
      </c>
      <c r="D787" s="10">
        <v>8233</v>
      </c>
      <c r="E787" s="10"/>
      <c r="F787" s="60" t="s">
        <v>623</v>
      </c>
      <c r="G787" s="10"/>
      <c r="H787" s="75">
        <v>41299</v>
      </c>
      <c r="I787" s="10"/>
      <c r="J787" s="10"/>
      <c r="K787" s="3"/>
    </row>
    <row r="788" spans="1:11" x14ac:dyDescent="0.25">
      <c r="A788" s="53" t="s">
        <v>924</v>
      </c>
      <c r="B788" s="33" t="s">
        <v>597</v>
      </c>
      <c r="C788" s="45" t="s">
        <v>941</v>
      </c>
      <c r="D788" s="10">
        <v>8233</v>
      </c>
      <c r="E788" s="10"/>
      <c r="F788" s="60" t="s">
        <v>623</v>
      </c>
      <c r="G788" s="10"/>
      <c r="H788" s="75">
        <v>41299</v>
      </c>
      <c r="I788" s="10"/>
      <c r="J788" s="10"/>
      <c r="K788" s="3"/>
    </row>
    <row r="789" spans="1:11" x14ac:dyDescent="0.25">
      <c r="A789" s="53" t="s">
        <v>925</v>
      </c>
      <c r="B789" s="33" t="s">
        <v>597</v>
      </c>
      <c r="C789" s="45" t="s">
        <v>940</v>
      </c>
      <c r="D789" s="10">
        <v>8233</v>
      </c>
      <c r="E789" s="10"/>
      <c r="F789" s="60" t="s">
        <v>623</v>
      </c>
      <c r="G789" s="10"/>
      <c r="H789" s="75">
        <v>41299</v>
      </c>
      <c r="I789" s="10"/>
      <c r="J789" s="10"/>
      <c r="K789" s="3"/>
    </row>
    <row r="790" spans="1:11" x14ac:dyDescent="0.25">
      <c r="A790" s="53" t="s">
        <v>926</v>
      </c>
      <c r="B790" s="33" t="s">
        <v>597</v>
      </c>
      <c r="C790" s="45" t="s">
        <v>939</v>
      </c>
      <c r="D790" s="10">
        <v>8233</v>
      </c>
      <c r="E790" s="10"/>
      <c r="F790" s="60" t="s">
        <v>623</v>
      </c>
      <c r="G790" s="10"/>
      <c r="H790" s="75">
        <v>41299</v>
      </c>
      <c r="I790" s="10"/>
      <c r="J790" s="10"/>
      <c r="K790" s="3"/>
    </row>
    <row r="791" spans="1:11" x14ac:dyDescent="0.25">
      <c r="A791" s="53" t="s">
        <v>927</v>
      </c>
      <c r="B791" s="33" t="s">
        <v>597</v>
      </c>
      <c r="C791" s="45" t="s">
        <v>938</v>
      </c>
      <c r="D791" s="37" t="s">
        <v>915</v>
      </c>
      <c r="E791" s="10"/>
      <c r="F791" s="60" t="s">
        <v>51</v>
      </c>
      <c r="G791" s="10"/>
      <c r="H791" s="75">
        <v>41303</v>
      </c>
      <c r="I791" s="10"/>
      <c r="J791" s="10"/>
      <c r="K791" s="3"/>
    </row>
    <row r="792" spans="1:11" x14ac:dyDescent="0.25">
      <c r="A792" s="53" t="s">
        <v>928</v>
      </c>
      <c r="B792" s="33" t="s">
        <v>597</v>
      </c>
      <c r="C792" s="45" t="s">
        <v>937</v>
      </c>
      <c r="D792" s="37" t="s">
        <v>915</v>
      </c>
      <c r="E792" s="10"/>
      <c r="F792" s="60" t="s">
        <v>51</v>
      </c>
      <c r="G792" s="10"/>
      <c r="H792" s="75">
        <v>41303</v>
      </c>
      <c r="I792" s="10"/>
      <c r="J792" s="10"/>
      <c r="K792" s="3"/>
    </row>
    <row r="793" spans="1:11" x14ac:dyDescent="0.25">
      <c r="A793" s="53" t="s">
        <v>929</v>
      </c>
      <c r="B793" s="33" t="s">
        <v>597</v>
      </c>
      <c r="C793" s="45" t="s">
        <v>935</v>
      </c>
      <c r="D793" s="37" t="s">
        <v>947</v>
      </c>
      <c r="E793" s="10"/>
      <c r="F793" s="60" t="s">
        <v>51</v>
      </c>
      <c r="G793" s="10"/>
      <c r="H793" s="75">
        <v>41303</v>
      </c>
      <c r="I793" s="10"/>
      <c r="J793" s="10"/>
      <c r="K793" s="3"/>
    </row>
    <row r="794" spans="1:11" x14ac:dyDescent="0.25">
      <c r="A794" s="53" t="s">
        <v>930</v>
      </c>
      <c r="B794" s="33" t="s">
        <v>597</v>
      </c>
      <c r="C794" s="45" t="s">
        <v>934</v>
      </c>
      <c r="D794" s="37" t="s">
        <v>947</v>
      </c>
      <c r="E794" s="10"/>
      <c r="F794" s="60" t="s">
        <v>51</v>
      </c>
      <c r="G794" s="10"/>
      <c r="H794" s="75">
        <v>41303</v>
      </c>
      <c r="I794" s="10"/>
      <c r="J794" s="10"/>
      <c r="K794" s="3"/>
    </row>
    <row r="795" spans="1:11" x14ac:dyDescent="0.25">
      <c r="A795" s="53" t="s">
        <v>931</v>
      </c>
      <c r="B795" s="33" t="s">
        <v>597</v>
      </c>
      <c r="C795" s="45" t="s">
        <v>936</v>
      </c>
      <c r="D795" s="10">
        <v>8253</v>
      </c>
      <c r="E795" s="10"/>
      <c r="F795" s="60" t="s">
        <v>52</v>
      </c>
      <c r="G795" s="10"/>
      <c r="H795" s="75">
        <v>41305</v>
      </c>
      <c r="I795" s="10"/>
      <c r="J795" s="10"/>
      <c r="K795" s="3"/>
    </row>
    <row r="796" spans="1:11" x14ac:dyDescent="0.25">
      <c r="A796" s="53" t="s">
        <v>949</v>
      </c>
      <c r="B796" s="33" t="s">
        <v>597</v>
      </c>
      <c r="C796" s="45" t="s">
        <v>962</v>
      </c>
      <c r="D796" s="37" t="s">
        <v>961</v>
      </c>
      <c r="E796" s="10"/>
      <c r="F796" s="60" t="s">
        <v>51</v>
      </c>
      <c r="G796" s="10"/>
      <c r="H796" s="75">
        <v>41310</v>
      </c>
      <c r="I796" s="10"/>
      <c r="J796" s="10"/>
      <c r="K796" s="3"/>
    </row>
    <row r="797" spans="1:11" s="55" customFormat="1" ht="25" x14ac:dyDescent="0.25">
      <c r="A797" s="53" t="s">
        <v>950</v>
      </c>
      <c r="B797" s="37" t="s">
        <v>596</v>
      </c>
      <c r="C797" s="61" t="s">
        <v>963</v>
      </c>
      <c r="D797" s="37">
        <v>8207</v>
      </c>
      <c r="E797" s="10"/>
      <c r="F797" s="60" t="s">
        <v>32</v>
      </c>
      <c r="G797" s="10"/>
      <c r="H797" s="75">
        <v>41316</v>
      </c>
      <c r="I797" s="10"/>
      <c r="J797" s="10"/>
      <c r="K797" s="54"/>
    </row>
    <row r="798" spans="1:11" x14ac:dyDescent="0.25">
      <c r="A798" s="53" t="s">
        <v>951</v>
      </c>
      <c r="B798" s="33" t="s">
        <v>597</v>
      </c>
      <c r="C798" s="45" t="s">
        <v>975</v>
      </c>
      <c r="D798" s="10">
        <v>8216</v>
      </c>
      <c r="E798" s="10"/>
      <c r="F798" s="64" t="s">
        <v>52</v>
      </c>
      <c r="G798" s="10"/>
      <c r="H798" s="75">
        <v>41310</v>
      </c>
      <c r="I798" s="10"/>
      <c r="J798" s="10"/>
      <c r="K798" s="3"/>
    </row>
    <row r="799" spans="1:11" x14ac:dyDescent="0.25">
      <c r="A799" s="53" t="s">
        <v>952</v>
      </c>
      <c r="B799" s="33" t="s">
        <v>597</v>
      </c>
      <c r="C799" s="45" t="s">
        <v>974</v>
      </c>
      <c r="D799" s="10">
        <v>8216</v>
      </c>
      <c r="E799" s="10"/>
      <c r="F799" s="64" t="s">
        <v>52</v>
      </c>
      <c r="G799" s="10"/>
      <c r="H799" s="75">
        <v>41310</v>
      </c>
      <c r="I799" s="10"/>
      <c r="J799" s="10"/>
      <c r="K799" s="3"/>
    </row>
    <row r="800" spans="1:11" x14ac:dyDescent="0.25">
      <c r="A800" s="53" t="s">
        <v>953</v>
      </c>
      <c r="B800" s="33" t="s">
        <v>597</v>
      </c>
      <c r="C800" s="45" t="s">
        <v>973</v>
      </c>
      <c r="D800" s="10">
        <v>8216</v>
      </c>
      <c r="E800" s="10"/>
      <c r="F800" s="64" t="s">
        <v>52</v>
      </c>
      <c r="G800" s="10"/>
      <c r="H800" s="75">
        <v>41310</v>
      </c>
      <c r="I800" s="10"/>
      <c r="J800" s="10"/>
      <c r="K800" s="3"/>
    </row>
    <row r="801" spans="1:11" x14ac:dyDescent="0.25">
      <c r="A801" s="53" t="s">
        <v>954</v>
      </c>
      <c r="B801" s="33" t="s">
        <v>597</v>
      </c>
      <c r="C801" s="45" t="s">
        <v>942</v>
      </c>
      <c r="D801" s="10">
        <v>8216</v>
      </c>
      <c r="E801" s="10"/>
      <c r="F801" s="64" t="s">
        <v>52</v>
      </c>
      <c r="G801" s="10"/>
      <c r="H801" s="75">
        <v>41310</v>
      </c>
      <c r="I801" s="10"/>
      <c r="J801" s="10"/>
      <c r="K801" s="3"/>
    </row>
    <row r="802" spans="1:11" x14ac:dyDescent="0.25">
      <c r="A802" s="53" t="s">
        <v>955</v>
      </c>
      <c r="B802" s="33" t="s">
        <v>597</v>
      </c>
      <c r="C802" s="45" t="s">
        <v>972</v>
      </c>
      <c r="D802" s="10">
        <v>8216</v>
      </c>
      <c r="E802" s="10"/>
      <c r="F802" s="64" t="s">
        <v>52</v>
      </c>
      <c r="G802" s="10"/>
      <c r="H802" s="75">
        <v>41310</v>
      </c>
      <c r="I802" s="10"/>
      <c r="J802" s="10"/>
      <c r="K802" s="3"/>
    </row>
    <row r="803" spans="1:11" x14ac:dyDescent="0.25">
      <c r="A803" s="53" t="s">
        <v>956</v>
      </c>
      <c r="B803" s="33" t="s">
        <v>597</v>
      </c>
      <c r="C803" s="45" t="s">
        <v>971</v>
      </c>
      <c r="D803" s="10">
        <v>8216</v>
      </c>
      <c r="E803" s="10"/>
      <c r="F803" s="64" t="s">
        <v>52</v>
      </c>
      <c r="G803" s="10"/>
      <c r="H803" s="75">
        <v>41310</v>
      </c>
      <c r="I803" s="10"/>
      <c r="J803" s="10"/>
      <c r="K803" s="3"/>
    </row>
    <row r="804" spans="1:11" x14ac:dyDescent="0.25">
      <c r="A804" s="53" t="s">
        <v>957</v>
      </c>
      <c r="B804" s="33" t="s">
        <v>597</v>
      </c>
      <c r="C804" s="45" t="s">
        <v>970</v>
      </c>
      <c r="D804" s="10">
        <v>8216</v>
      </c>
      <c r="E804" s="10"/>
      <c r="F804" s="64" t="s">
        <v>52</v>
      </c>
      <c r="G804" s="10"/>
      <c r="H804" s="75">
        <v>41310</v>
      </c>
      <c r="I804" s="10"/>
      <c r="J804" s="10"/>
      <c r="K804" s="3"/>
    </row>
    <row r="805" spans="1:11" x14ac:dyDescent="0.25">
      <c r="A805" s="53" t="s">
        <v>958</v>
      </c>
      <c r="B805" s="33" t="s">
        <v>597</v>
      </c>
      <c r="C805" s="45" t="s">
        <v>969</v>
      </c>
      <c r="D805" s="10">
        <v>8216</v>
      </c>
      <c r="E805" s="10"/>
      <c r="F805" s="64" t="s">
        <v>52</v>
      </c>
      <c r="G805" s="10"/>
      <c r="H805" s="75">
        <v>41310</v>
      </c>
      <c r="I805" s="10"/>
      <c r="J805" s="10"/>
      <c r="K805" s="3"/>
    </row>
    <row r="806" spans="1:11" x14ac:dyDescent="0.25">
      <c r="A806" s="53" t="s">
        <v>959</v>
      </c>
      <c r="B806" s="4" t="s">
        <v>597</v>
      </c>
      <c r="C806" s="24" t="s">
        <v>960</v>
      </c>
      <c r="D806" s="10" t="s">
        <v>948</v>
      </c>
      <c r="E806" s="10"/>
      <c r="F806" s="64" t="s">
        <v>51</v>
      </c>
      <c r="G806" s="10"/>
      <c r="H806" s="75">
        <v>41310</v>
      </c>
      <c r="I806" s="10"/>
      <c r="J806" s="10"/>
      <c r="K806" s="3"/>
    </row>
    <row r="807" spans="1:11" x14ac:dyDescent="0.25">
      <c r="A807" s="53" t="s">
        <v>964</v>
      </c>
      <c r="B807" s="33" t="s">
        <v>596</v>
      </c>
      <c r="C807" s="45" t="s">
        <v>967</v>
      </c>
      <c r="D807" s="37" t="s">
        <v>968</v>
      </c>
      <c r="E807" s="10"/>
      <c r="F807" s="60" t="s">
        <v>27</v>
      </c>
      <c r="G807" s="10"/>
      <c r="H807" s="75">
        <v>41325</v>
      </c>
      <c r="I807" s="10"/>
      <c r="J807" s="10"/>
      <c r="K807" s="3"/>
    </row>
    <row r="808" spans="1:11" x14ac:dyDescent="0.25">
      <c r="A808" s="53" t="s">
        <v>965</v>
      </c>
      <c r="B808" s="33" t="s">
        <v>597</v>
      </c>
      <c r="C808" s="45" t="s">
        <v>966</v>
      </c>
      <c r="D808" s="37" t="s">
        <v>968</v>
      </c>
      <c r="E808" s="10"/>
      <c r="F808" s="64" t="s">
        <v>52</v>
      </c>
      <c r="G808" s="10"/>
      <c r="H808" s="75">
        <v>41325</v>
      </c>
      <c r="I808" s="10"/>
      <c r="J808" s="10"/>
      <c r="K808" s="3"/>
    </row>
    <row r="809" spans="1:11" x14ac:dyDescent="0.25">
      <c r="A809" s="53" t="s">
        <v>978</v>
      </c>
      <c r="B809" s="33" t="s">
        <v>597</v>
      </c>
      <c r="C809" s="24" t="s">
        <v>983</v>
      </c>
      <c r="D809" s="10">
        <v>8216</v>
      </c>
      <c r="E809" s="10"/>
      <c r="F809" s="64" t="s">
        <v>623</v>
      </c>
      <c r="G809" s="10"/>
      <c r="H809" s="75">
        <v>41338</v>
      </c>
      <c r="I809" s="10"/>
      <c r="J809" s="10"/>
      <c r="K809" s="3"/>
    </row>
    <row r="810" spans="1:11" x14ac:dyDescent="0.25">
      <c r="A810" s="53" t="s">
        <v>979</v>
      </c>
      <c r="B810" s="33" t="s">
        <v>597</v>
      </c>
      <c r="C810" s="24" t="s">
        <v>982</v>
      </c>
      <c r="D810" s="10">
        <v>8216</v>
      </c>
      <c r="E810" s="10"/>
      <c r="F810" s="64" t="s">
        <v>623</v>
      </c>
      <c r="G810" s="10"/>
      <c r="H810" s="75">
        <v>41338</v>
      </c>
      <c r="I810" s="10"/>
      <c r="J810" s="10"/>
      <c r="K810" s="3"/>
    </row>
    <row r="811" spans="1:11" x14ac:dyDescent="0.25">
      <c r="A811" s="53" t="s">
        <v>980</v>
      </c>
      <c r="B811" s="4" t="s">
        <v>596</v>
      </c>
      <c r="C811" s="24" t="s">
        <v>981</v>
      </c>
      <c r="D811" s="10">
        <v>8216</v>
      </c>
      <c r="E811" s="10"/>
      <c r="F811" s="64" t="s">
        <v>27</v>
      </c>
      <c r="G811" s="10"/>
      <c r="H811" s="75">
        <v>41339</v>
      </c>
      <c r="I811" s="10"/>
      <c r="J811" s="10"/>
      <c r="K811" s="3"/>
    </row>
    <row r="812" spans="1:11" x14ac:dyDescent="0.25">
      <c r="A812" s="10">
        <v>938</v>
      </c>
      <c r="B812" s="4" t="s">
        <v>597</v>
      </c>
      <c r="C812" s="24" t="s">
        <v>984</v>
      </c>
      <c r="D812" s="10">
        <v>8199</v>
      </c>
      <c r="E812" s="10"/>
      <c r="F812" s="64" t="s">
        <v>52</v>
      </c>
      <c r="G812" s="10"/>
      <c r="H812" s="75">
        <v>41344</v>
      </c>
      <c r="I812" s="10"/>
      <c r="J812" s="10"/>
      <c r="K812" s="3"/>
    </row>
    <row r="813" spans="1:11" x14ac:dyDescent="0.25">
      <c r="A813" s="10">
        <v>939</v>
      </c>
      <c r="B813" s="4" t="s">
        <v>597</v>
      </c>
      <c r="C813" s="24" t="s">
        <v>985</v>
      </c>
      <c r="D813" s="10">
        <v>7700</v>
      </c>
      <c r="E813" s="10"/>
      <c r="F813" s="64" t="s">
        <v>451</v>
      </c>
      <c r="G813" s="10"/>
      <c r="H813" s="75">
        <v>41367</v>
      </c>
      <c r="I813" s="10"/>
      <c r="J813" s="10"/>
      <c r="K813" s="3"/>
    </row>
    <row r="814" spans="1:11" s="55" customFormat="1" ht="25" x14ac:dyDescent="0.25">
      <c r="A814" s="10">
        <v>940</v>
      </c>
      <c r="B814" s="10" t="s">
        <v>596</v>
      </c>
      <c r="C814" s="65" t="s">
        <v>986</v>
      </c>
      <c r="D814" s="10" t="s">
        <v>993</v>
      </c>
      <c r="E814" s="10"/>
      <c r="F814" s="64" t="s">
        <v>168</v>
      </c>
      <c r="G814" s="10"/>
      <c r="H814" s="75">
        <v>41368</v>
      </c>
      <c r="I814" s="10"/>
      <c r="J814" s="10"/>
      <c r="K814" s="54"/>
    </row>
    <row r="815" spans="1:11" x14ac:dyDescent="0.25">
      <c r="A815" s="10">
        <v>941</v>
      </c>
      <c r="B815" s="33" t="s">
        <v>221</v>
      </c>
      <c r="C815" s="45" t="s">
        <v>987</v>
      </c>
      <c r="D815" s="10">
        <v>8263</v>
      </c>
      <c r="E815" s="10"/>
      <c r="F815" s="60" t="s">
        <v>52</v>
      </c>
      <c r="G815" s="10"/>
      <c r="H815" s="75">
        <v>41369</v>
      </c>
      <c r="I815" s="10"/>
      <c r="J815" s="10"/>
      <c r="K815" s="3"/>
    </row>
    <row r="816" spans="1:11" x14ac:dyDescent="0.25">
      <c r="A816" s="10">
        <v>942</v>
      </c>
      <c r="B816" s="33" t="s">
        <v>221</v>
      </c>
      <c r="C816" s="45" t="s">
        <v>988</v>
      </c>
      <c r="D816" s="37" t="s">
        <v>992</v>
      </c>
      <c r="E816" s="10"/>
      <c r="F816" s="60" t="s">
        <v>52</v>
      </c>
      <c r="G816" s="10"/>
      <c r="H816" s="75">
        <v>41375</v>
      </c>
      <c r="I816" s="10"/>
      <c r="J816" s="10"/>
      <c r="K816" s="3"/>
    </row>
    <row r="817" spans="1:11" x14ac:dyDescent="0.25">
      <c r="A817" s="10">
        <v>943</v>
      </c>
      <c r="B817" s="33" t="s">
        <v>221</v>
      </c>
      <c r="C817" s="45" t="s">
        <v>989</v>
      </c>
      <c r="D817" s="37" t="s">
        <v>992</v>
      </c>
      <c r="E817" s="10"/>
      <c r="F817" s="60" t="s">
        <v>52</v>
      </c>
      <c r="G817" s="10"/>
      <c r="H817" s="75">
        <v>41375</v>
      </c>
      <c r="I817" s="10"/>
      <c r="J817" s="10"/>
      <c r="K817" s="3"/>
    </row>
    <row r="818" spans="1:11" x14ac:dyDescent="0.25">
      <c r="A818" s="59">
        <v>944</v>
      </c>
      <c r="B818" s="4"/>
      <c r="C818" s="45"/>
      <c r="D818" s="10"/>
      <c r="E818" s="10"/>
      <c r="F818" s="64"/>
      <c r="G818" s="10"/>
      <c r="H818" s="16"/>
      <c r="I818" s="10"/>
      <c r="J818" s="10"/>
      <c r="K818" s="3"/>
    </row>
    <row r="819" spans="1:11" x14ac:dyDescent="0.25">
      <c r="A819" s="10">
        <v>945</v>
      </c>
      <c r="B819" s="4" t="s">
        <v>257</v>
      </c>
      <c r="C819" s="45" t="s">
        <v>990</v>
      </c>
      <c r="D819" s="10">
        <v>8263</v>
      </c>
      <c r="E819" s="10"/>
      <c r="F819" s="60" t="s">
        <v>27</v>
      </c>
      <c r="G819" s="10"/>
      <c r="H819" s="75">
        <v>41379</v>
      </c>
      <c r="I819" s="10"/>
      <c r="J819" s="10"/>
      <c r="K819" s="3"/>
    </row>
    <row r="820" spans="1:11" s="55" customFormat="1" ht="25" x14ac:dyDescent="0.25">
      <c r="A820" s="10">
        <v>946</v>
      </c>
      <c r="B820" s="10" t="s">
        <v>257</v>
      </c>
      <c r="C820" s="61" t="s">
        <v>991</v>
      </c>
      <c r="D820" s="10">
        <v>8249</v>
      </c>
      <c r="E820" s="10"/>
      <c r="F820" s="60" t="s">
        <v>32</v>
      </c>
      <c r="G820" s="10"/>
      <c r="H820" s="75">
        <v>41381</v>
      </c>
      <c r="I820" s="10"/>
      <c r="J820" s="10"/>
      <c r="K820" s="54"/>
    </row>
    <row r="821" spans="1:11" x14ac:dyDescent="0.25">
      <c r="A821" s="10">
        <v>947</v>
      </c>
      <c r="B821" s="4" t="s">
        <v>221</v>
      </c>
      <c r="C821" s="24" t="s">
        <v>995</v>
      </c>
      <c r="D821" s="10">
        <v>8231</v>
      </c>
      <c r="E821" s="10"/>
      <c r="F821" s="64" t="s">
        <v>623</v>
      </c>
      <c r="G821" s="10"/>
      <c r="H821" s="75">
        <v>41394</v>
      </c>
      <c r="I821" s="10"/>
      <c r="J821" s="10"/>
      <c r="K821" s="3"/>
    </row>
    <row r="822" spans="1:11" x14ac:dyDescent="0.25">
      <c r="A822" s="10">
        <v>948</v>
      </c>
      <c r="B822" s="4" t="s">
        <v>221</v>
      </c>
      <c r="C822" s="24" t="s">
        <v>996</v>
      </c>
      <c r="D822" s="10">
        <v>8260</v>
      </c>
      <c r="E822" s="10"/>
      <c r="F822" s="64" t="s">
        <v>52</v>
      </c>
      <c r="G822" s="10"/>
      <c r="H822" s="75">
        <v>41402</v>
      </c>
      <c r="I822" s="10"/>
      <c r="J822" s="10"/>
      <c r="K822" s="3"/>
    </row>
    <row r="823" spans="1:11" x14ac:dyDescent="0.25">
      <c r="A823" s="10">
        <v>949</v>
      </c>
      <c r="B823" s="4" t="s">
        <v>257</v>
      </c>
      <c r="C823" s="24" t="s">
        <v>999</v>
      </c>
      <c r="D823" s="10">
        <v>8260</v>
      </c>
      <c r="E823" s="10"/>
      <c r="F823" s="64" t="s">
        <v>27</v>
      </c>
      <c r="G823" s="10"/>
      <c r="H823" s="75">
        <v>41402</v>
      </c>
      <c r="I823" s="10"/>
      <c r="J823" s="10"/>
      <c r="K823" s="3"/>
    </row>
    <row r="824" spans="1:11" x14ac:dyDescent="0.25">
      <c r="A824" s="10">
        <v>950</v>
      </c>
      <c r="B824" s="4" t="s">
        <v>221</v>
      </c>
      <c r="C824" s="24" t="s">
        <v>997</v>
      </c>
      <c r="D824" s="10">
        <v>8265</v>
      </c>
      <c r="E824" s="10"/>
      <c r="F824" s="64" t="s">
        <v>52</v>
      </c>
      <c r="G824" s="10"/>
      <c r="H824" s="75">
        <v>41410</v>
      </c>
      <c r="I824" s="10"/>
      <c r="J824" s="10"/>
      <c r="K824" s="3"/>
    </row>
    <row r="825" spans="1:11" x14ac:dyDescent="0.25">
      <c r="A825" s="10">
        <v>951</v>
      </c>
      <c r="B825" s="4" t="s">
        <v>221</v>
      </c>
      <c r="C825" s="24" t="s">
        <v>998</v>
      </c>
      <c r="D825" s="10">
        <v>8265</v>
      </c>
      <c r="E825" s="10"/>
      <c r="F825" s="64" t="s">
        <v>52</v>
      </c>
      <c r="G825" s="10"/>
      <c r="H825" s="75">
        <v>41410</v>
      </c>
      <c r="I825" s="10"/>
      <c r="J825" s="10"/>
      <c r="K825" s="3"/>
    </row>
    <row r="826" spans="1:11" x14ac:dyDescent="0.25">
      <c r="A826" s="10">
        <v>952</v>
      </c>
      <c r="B826" s="4" t="s">
        <v>221</v>
      </c>
      <c r="C826" s="24" t="s">
        <v>1003</v>
      </c>
      <c r="D826" s="10" t="s">
        <v>1000</v>
      </c>
      <c r="E826" s="10"/>
      <c r="F826" s="64" t="s">
        <v>51</v>
      </c>
      <c r="G826" s="10"/>
      <c r="H826" s="75">
        <v>41423</v>
      </c>
      <c r="I826" s="10"/>
      <c r="J826" s="10"/>
      <c r="K826" s="3"/>
    </row>
    <row r="827" spans="1:11" x14ac:dyDescent="0.25">
      <c r="A827" s="10">
        <v>953</v>
      </c>
      <c r="B827" s="4" t="s">
        <v>221</v>
      </c>
      <c r="C827" s="24" t="s">
        <v>1002</v>
      </c>
      <c r="D827" s="10">
        <v>8278</v>
      </c>
      <c r="E827" s="10"/>
      <c r="F827" s="64" t="s">
        <v>52</v>
      </c>
      <c r="G827" s="10"/>
      <c r="H827" s="75">
        <v>41423</v>
      </c>
      <c r="I827" s="10"/>
      <c r="J827" s="10"/>
      <c r="K827" s="3"/>
    </row>
    <row r="828" spans="1:11" x14ac:dyDescent="0.25">
      <c r="A828" s="10">
        <v>954</v>
      </c>
      <c r="B828" s="4" t="s">
        <v>221</v>
      </c>
      <c r="C828" s="24" t="s">
        <v>1001</v>
      </c>
      <c r="D828" s="10">
        <v>8278</v>
      </c>
      <c r="E828" s="10"/>
      <c r="F828" s="64" t="s">
        <v>52</v>
      </c>
      <c r="G828" s="10"/>
      <c r="H828" s="75">
        <v>41423</v>
      </c>
      <c r="I828" s="10"/>
      <c r="J828" s="10"/>
      <c r="K828" s="3"/>
    </row>
    <row r="829" spans="1:11" x14ac:dyDescent="0.25">
      <c r="A829" s="10">
        <v>955</v>
      </c>
      <c r="B829" s="4" t="s">
        <v>221</v>
      </c>
      <c r="C829" s="24" t="s">
        <v>1004</v>
      </c>
      <c r="D829" s="10">
        <v>8232</v>
      </c>
      <c r="E829" s="10"/>
      <c r="F829" s="64" t="s">
        <v>623</v>
      </c>
      <c r="G829" s="10"/>
      <c r="H829" s="75">
        <v>41431</v>
      </c>
      <c r="I829" s="10"/>
      <c r="J829" s="10"/>
      <c r="K829" s="3"/>
    </row>
    <row r="830" spans="1:11" x14ac:dyDescent="0.25">
      <c r="A830" s="10">
        <v>956</v>
      </c>
      <c r="B830" s="4" t="s">
        <v>221</v>
      </c>
      <c r="C830" s="24" t="s">
        <v>1006</v>
      </c>
      <c r="D830" s="10">
        <v>8232</v>
      </c>
      <c r="E830" s="10"/>
      <c r="F830" s="64" t="s">
        <v>623</v>
      </c>
      <c r="G830" s="10"/>
      <c r="H830" s="75">
        <v>41431</v>
      </c>
      <c r="I830" s="10"/>
      <c r="J830" s="10"/>
      <c r="K830" s="3"/>
    </row>
    <row r="831" spans="1:11" x14ac:dyDescent="0.25">
      <c r="A831" s="53" t="s">
        <v>1007</v>
      </c>
      <c r="B831" s="4" t="s">
        <v>221</v>
      </c>
      <c r="C831" s="24" t="s">
        <v>1005</v>
      </c>
      <c r="D831" s="10">
        <v>8232</v>
      </c>
      <c r="E831" s="10"/>
      <c r="F831" s="64" t="s">
        <v>623</v>
      </c>
      <c r="G831" s="10"/>
      <c r="H831" s="75">
        <v>41431</v>
      </c>
      <c r="I831" s="10"/>
      <c r="J831" s="10"/>
      <c r="K831" s="3"/>
    </row>
    <row r="832" spans="1:11" x14ac:dyDescent="0.25">
      <c r="A832" s="53" t="s">
        <v>1008</v>
      </c>
      <c r="B832" s="4" t="s">
        <v>257</v>
      </c>
      <c r="C832" s="24" t="s">
        <v>1019</v>
      </c>
      <c r="D832" s="10">
        <v>8284</v>
      </c>
      <c r="E832" s="10"/>
      <c r="F832" s="64" t="s">
        <v>27</v>
      </c>
      <c r="G832" s="10"/>
      <c r="H832" s="75">
        <v>41439</v>
      </c>
      <c r="I832" s="10"/>
      <c r="J832" s="10"/>
      <c r="K832" s="3"/>
    </row>
    <row r="833" spans="1:11" x14ac:dyDescent="0.25">
      <c r="A833" s="53" t="s">
        <v>1009</v>
      </c>
      <c r="B833" s="4" t="s">
        <v>221</v>
      </c>
      <c r="C833" s="24" t="s">
        <v>1020</v>
      </c>
      <c r="D833" s="10">
        <v>8284</v>
      </c>
      <c r="E833" s="10"/>
      <c r="F833" s="64" t="s">
        <v>52</v>
      </c>
      <c r="G833" s="10"/>
      <c r="H833" s="75">
        <v>41442</v>
      </c>
      <c r="I833" s="10"/>
      <c r="J833" s="10"/>
      <c r="K833" s="3"/>
    </row>
    <row r="834" spans="1:11" x14ac:dyDescent="0.25">
      <c r="A834" s="53" t="s">
        <v>1010</v>
      </c>
      <c r="B834" s="4" t="s">
        <v>221</v>
      </c>
      <c r="C834" s="24" t="s">
        <v>1021</v>
      </c>
      <c r="D834" s="10">
        <v>8284</v>
      </c>
      <c r="E834" s="10"/>
      <c r="F834" s="64" t="s">
        <v>52</v>
      </c>
      <c r="G834" s="10"/>
      <c r="H834" s="75">
        <v>41442</v>
      </c>
      <c r="I834" s="10"/>
      <c r="J834" s="10"/>
      <c r="K834" s="3"/>
    </row>
    <row r="835" spans="1:11" x14ac:dyDescent="0.25">
      <c r="A835" s="53" t="s">
        <v>1011</v>
      </c>
      <c r="B835" s="4" t="s">
        <v>221</v>
      </c>
      <c r="C835" s="24" t="s">
        <v>1022</v>
      </c>
      <c r="D835" s="10">
        <v>8284</v>
      </c>
      <c r="E835" s="10"/>
      <c r="F835" s="64" t="s">
        <v>52</v>
      </c>
      <c r="G835" s="10"/>
      <c r="H835" s="75">
        <v>41443</v>
      </c>
      <c r="I835" s="10"/>
      <c r="J835" s="10"/>
      <c r="K835" s="3"/>
    </row>
    <row r="836" spans="1:11" x14ac:dyDescent="0.25">
      <c r="A836" s="53" t="s">
        <v>1012</v>
      </c>
      <c r="B836" s="4" t="s">
        <v>221</v>
      </c>
      <c r="C836" s="24" t="s">
        <v>1023</v>
      </c>
      <c r="D836" s="10">
        <v>8284</v>
      </c>
      <c r="E836" s="10"/>
      <c r="F836" s="64" t="s">
        <v>52</v>
      </c>
      <c r="G836" s="10"/>
      <c r="H836" s="75">
        <v>41443</v>
      </c>
      <c r="I836" s="10"/>
      <c r="J836" s="10"/>
      <c r="K836" s="3"/>
    </row>
    <row r="837" spans="1:11" x14ac:dyDescent="0.25">
      <c r="A837" s="53" t="s">
        <v>1013</v>
      </c>
      <c r="B837" s="4" t="s">
        <v>221</v>
      </c>
      <c r="C837" s="24" t="s">
        <v>1024</v>
      </c>
      <c r="D837" s="10">
        <v>8284</v>
      </c>
      <c r="E837" s="10"/>
      <c r="F837" s="64" t="s">
        <v>52</v>
      </c>
      <c r="G837" s="10"/>
      <c r="H837" s="75">
        <v>41443</v>
      </c>
      <c r="I837" s="10"/>
      <c r="J837" s="10"/>
      <c r="K837" s="3"/>
    </row>
    <row r="838" spans="1:11" x14ac:dyDescent="0.25">
      <c r="A838" s="53" t="s">
        <v>1014</v>
      </c>
      <c r="B838" s="4" t="s">
        <v>221</v>
      </c>
      <c r="C838" s="24" t="s">
        <v>1025</v>
      </c>
      <c r="D838" s="10">
        <v>8284</v>
      </c>
      <c r="E838" s="10"/>
      <c r="F838" s="64" t="s">
        <v>52</v>
      </c>
      <c r="G838" s="10"/>
      <c r="H838" s="75">
        <v>41443</v>
      </c>
      <c r="I838" s="10"/>
      <c r="J838" s="10"/>
      <c r="K838" s="3"/>
    </row>
    <row r="839" spans="1:11" x14ac:dyDescent="0.25">
      <c r="A839" s="53" t="s">
        <v>1015</v>
      </c>
      <c r="B839" s="4" t="s">
        <v>221</v>
      </c>
      <c r="C839" s="24" t="s">
        <v>1026</v>
      </c>
      <c r="D839" s="10">
        <v>8284</v>
      </c>
      <c r="E839" s="10"/>
      <c r="F839" s="64" t="s">
        <v>52</v>
      </c>
      <c r="G839" s="10"/>
      <c r="H839" s="75">
        <v>41443</v>
      </c>
      <c r="I839" s="10"/>
      <c r="J839" s="10"/>
      <c r="K839" s="3"/>
    </row>
    <row r="840" spans="1:11" x14ac:dyDescent="0.25">
      <c r="A840" s="53" t="s">
        <v>1016</v>
      </c>
      <c r="B840" s="4" t="s">
        <v>221</v>
      </c>
      <c r="C840" s="24" t="s">
        <v>1027</v>
      </c>
      <c r="D840" s="10">
        <v>8284</v>
      </c>
      <c r="E840" s="10"/>
      <c r="F840" s="64" t="s">
        <v>52</v>
      </c>
      <c r="G840" s="10"/>
      <c r="H840" s="75">
        <v>41443</v>
      </c>
      <c r="I840" s="10"/>
      <c r="J840" s="10"/>
      <c r="K840" s="3"/>
    </row>
    <row r="841" spans="1:11" x14ac:dyDescent="0.25">
      <c r="A841" s="53" t="s">
        <v>1017</v>
      </c>
      <c r="B841" s="4" t="s">
        <v>221</v>
      </c>
      <c r="C841" s="24" t="s">
        <v>1028</v>
      </c>
      <c r="D841" s="10">
        <v>8284</v>
      </c>
      <c r="E841" s="10"/>
      <c r="F841" s="64" t="s">
        <v>52</v>
      </c>
      <c r="G841" s="37" t="s">
        <v>1179</v>
      </c>
      <c r="H841" s="75">
        <v>41443</v>
      </c>
      <c r="I841" s="10"/>
      <c r="J841" s="10"/>
      <c r="K841" s="3"/>
    </row>
    <row r="842" spans="1:11" x14ac:dyDescent="0.25">
      <c r="A842" s="53" t="s">
        <v>1018</v>
      </c>
      <c r="B842" s="4" t="s">
        <v>221</v>
      </c>
      <c r="C842" s="24" t="s">
        <v>1029</v>
      </c>
      <c r="D842" s="10">
        <v>8284</v>
      </c>
      <c r="E842" s="10"/>
      <c r="F842" s="64" t="s">
        <v>52</v>
      </c>
      <c r="G842" s="37" t="s">
        <v>1179</v>
      </c>
      <c r="H842" s="75">
        <v>41443</v>
      </c>
      <c r="I842" s="10"/>
      <c r="J842" s="10"/>
      <c r="K842" s="3"/>
    </row>
    <row r="843" spans="1:11" ht="25" x14ac:dyDescent="0.25">
      <c r="A843" s="70" t="s">
        <v>1039</v>
      </c>
      <c r="B843" s="11" t="s">
        <v>257</v>
      </c>
      <c r="C843" s="80" t="s">
        <v>1182</v>
      </c>
      <c r="D843" s="11" t="s">
        <v>1030</v>
      </c>
      <c r="E843" s="10"/>
      <c r="F843" s="68" t="s">
        <v>564</v>
      </c>
      <c r="G843" s="81" t="s">
        <v>1179</v>
      </c>
      <c r="H843" s="77">
        <v>41451</v>
      </c>
      <c r="I843" s="11"/>
      <c r="J843" s="11"/>
      <c r="K843" s="3"/>
    </row>
    <row r="844" spans="1:11" x14ac:dyDescent="0.25">
      <c r="A844" s="53" t="s">
        <v>1040</v>
      </c>
      <c r="B844" s="33" t="s">
        <v>221</v>
      </c>
      <c r="C844" s="45" t="s">
        <v>1180</v>
      </c>
      <c r="D844" s="10">
        <v>8284</v>
      </c>
      <c r="E844" s="10"/>
      <c r="F844" s="60" t="s">
        <v>623</v>
      </c>
      <c r="G844" s="37" t="s">
        <v>1181</v>
      </c>
      <c r="H844" s="75">
        <v>41460</v>
      </c>
      <c r="I844" s="10"/>
      <c r="J844" s="10"/>
      <c r="K844" s="3"/>
    </row>
    <row r="845" spans="1:11" x14ac:dyDescent="0.25">
      <c r="A845" s="53" t="s">
        <v>1041</v>
      </c>
      <c r="B845" s="33" t="s">
        <v>221</v>
      </c>
      <c r="C845" s="45" t="s">
        <v>1183</v>
      </c>
      <c r="D845" s="10">
        <v>8284</v>
      </c>
      <c r="E845" s="10"/>
      <c r="F845" s="60" t="s">
        <v>623</v>
      </c>
      <c r="G845" s="37" t="s">
        <v>1181</v>
      </c>
      <c r="H845" s="75">
        <v>41460</v>
      </c>
      <c r="I845" s="10"/>
      <c r="J845" s="10"/>
      <c r="K845" s="3"/>
    </row>
    <row r="846" spans="1:11" x14ac:dyDescent="0.25">
      <c r="A846" s="53" t="s">
        <v>1042</v>
      </c>
      <c r="B846" s="33" t="s">
        <v>221</v>
      </c>
      <c r="C846" s="45" t="s">
        <v>1184</v>
      </c>
      <c r="D846" s="10">
        <v>8284</v>
      </c>
      <c r="E846" s="10"/>
      <c r="F846" s="60" t="s">
        <v>623</v>
      </c>
      <c r="G846" s="37" t="s">
        <v>1181</v>
      </c>
      <c r="H846" s="75">
        <v>41460</v>
      </c>
      <c r="I846" s="10"/>
      <c r="J846" s="10"/>
      <c r="K846" s="3"/>
    </row>
    <row r="847" spans="1:11" x14ac:dyDescent="0.25">
      <c r="A847" s="53" t="s">
        <v>1043</v>
      </c>
      <c r="B847" s="33" t="s">
        <v>221</v>
      </c>
      <c r="C847" s="45" t="s">
        <v>1185</v>
      </c>
      <c r="D847" s="37" t="s">
        <v>1033</v>
      </c>
      <c r="E847" s="10"/>
      <c r="F847" s="60" t="s">
        <v>52</v>
      </c>
      <c r="G847" s="37" t="s">
        <v>1203</v>
      </c>
      <c r="H847" s="75">
        <v>41481</v>
      </c>
      <c r="I847" s="38" t="s">
        <v>1205</v>
      </c>
      <c r="J847" s="38">
        <v>41485</v>
      </c>
      <c r="K847" s="3"/>
    </row>
    <row r="848" spans="1:11" x14ac:dyDescent="0.25">
      <c r="A848" s="53" t="s">
        <v>1044</v>
      </c>
      <c r="B848" s="33" t="s">
        <v>221</v>
      </c>
      <c r="C848" s="45" t="s">
        <v>1186</v>
      </c>
      <c r="D848" s="10">
        <v>8285</v>
      </c>
      <c r="E848" s="10"/>
      <c r="F848" s="60" t="s">
        <v>52</v>
      </c>
      <c r="G848" s="37" t="s">
        <v>1202</v>
      </c>
      <c r="H848" s="75">
        <v>41485</v>
      </c>
      <c r="I848" s="38" t="s">
        <v>1204</v>
      </c>
      <c r="J848" s="15">
        <v>41505</v>
      </c>
      <c r="K848" s="3"/>
    </row>
    <row r="849" spans="1:11" x14ac:dyDescent="0.25">
      <c r="A849" s="53" t="s">
        <v>1045</v>
      </c>
      <c r="B849" s="33" t="s">
        <v>221</v>
      </c>
      <c r="C849" s="45" t="s">
        <v>1187</v>
      </c>
      <c r="D849" s="10">
        <v>8285</v>
      </c>
      <c r="E849" s="10"/>
      <c r="F849" s="60" t="s">
        <v>52</v>
      </c>
      <c r="G849" s="37" t="s">
        <v>1202</v>
      </c>
      <c r="H849" s="75">
        <v>41485</v>
      </c>
      <c r="I849" s="38" t="s">
        <v>1204</v>
      </c>
      <c r="J849" s="15">
        <v>41505</v>
      </c>
      <c r="K849" s="3"/>
    </row>
    <row r="850" spans="1:11" x14ac:dyDescent="0.25">
      <c r="A850" s="53" t="s">
        <v>1046</v>
      </c>
      <c r="B850" s="33" t="s">
        <v>221</v>
      </c>
      <c r="C850" s="45" t="s">
        <v>1188</v>
      </c>
      <c r="D850" s="10">
        <v>8285</v>
      </c>
      <c r="E850" s="10"/>
      <c r="F850" s="60" t="s">
        <v>52</v>
      </c>
      <c r="G850" s="37" t="s">
        <v>1202</v>
      </c>
      <c r="H850" s="75">
        <v>41485</v>
      </c>
      <c r="I850" s="38" t="s">
        <v>1204</v>
      </c>
      <c r="J850" s="15">
        <v>41505</v>
      </c>
      <c r="K850" s="3"/>
    </row>
    <row r="851" spans="1:11" x14ac:dyDescent="0.25">
      <c r="A851" s="53" t="s">
        <v>1047</v>
      </c>
      <c r="B851" s="33" t="s">
        <v>221</v>
      </c>
      <c r="C851" s="45" t="s">
        <v>1189</v>
      </c>
      <c r="D851" s="10">
        <v>8285</v>
      </c>
      <c r="E851" s="10"/>
      <c r="F851" s="60" t="s">
        <v>52</v>
      </c>
      <c r="G851" s="37" t="s">
        <v>1202</v>
      </c>
      <c r="H851" s="75">
        <v>41485</v>
      </c>
      <c r="I851" s="38" t="s">
        <v>1204</v>
      </c>
      <c r="J851" s="15">
        <v>41505</v>
      </c>
      <c r="K851" s="3"/>
    </row>
    <row r="852" spans="1:11" x14ac:dyDescent="0.25">
      <c r="A852" s="53" t="s">
        <v>1048</v>
      </c>
      <c r="B852" s="33" t="s">
        <v>221</v>
      </c>
      <c r="C852" s="45" t="s">
        <v>1190</v>
      </c>
      <c r="D852" s="10">
        <v>8285</v>
      </c>
      <c r="E852" s="10"/>
      <c r="F852" s="60" t="s">
        <v>52</v>
      </c>
      <c r="G852" s="37" t="s">
        <v>1202</v>
      </c>
      <c r="H852" s="75">
        <v>41485</v>
      </c>
      <c r="I852" s="38" t="s">
        <v>1204</v>
      </c>
      <c r="J852" s="15">
        <v>41505</v>
      </c>
      <c r="K852" s="3"/>
    </row>
    <row r="853" spans="1:11" x14ac:dyDescent="0.25">
      <c r="A853" s="53" t="s">
        <v>1049</v>
      </c>
      <c r="B853" s="33" t="s">
        <v>221</v>
      </c>
      <c r="C853" s="45" t="s">
        <v>1192</v>
      </c>
      <c r="D853" s="10">
        <v>8285</v>
      </c>
      <c r="E853" s="10"/>
      <c r="F853" s="60" t="s">
        <v>52</v>
      </c>
      <c r="G853" s="37" t="s">
        <v>1202</v>
      </c>
      <c r="H853" s="75">
        <v>41485</v>
      </c>
      <c r="I853" s="38" t="s">
        <v>1204</v>
      </c>
      <c r="J853" s="15">
        <v>41505</v>
      </c>
      <c r="K853" s="3"/>
    </row>
    <row r="854" spans="1:11" x14ac:dyDescent="0.25">
      <c r="A854" s="53" t="s">
        <v>1050</v>
      </c>
      <c r="B854" s="33" t="s">
        <v>221</v>
      </c>
      <c r="C854" s="45" t="s">
        <v>1191</v>
      </c>
      <c r="D854" s="10">
        <v>8285</v>
      </c>
      <c r="E854" s="10"/>
      <c r="F854" s="60" t="s">
        <v>52</v>
      </c>
      <c r="G854" s="37" t="s">
        <v>1202</v>
      </c>
      <c r="H854" s="75">
        <v>41485</v>
      </c>
      <c r="I854" s="38" t="s">
        <v>1204</v>
      </c>
      <c r="J854" s="15">
        <v>41505</v>
      </c>
      <c r="K854" s="3"/>
    </row>
    <row r="855" spans="1:11" x14ac:dyDescent="0.25">
      <c r="A855" s="53" t="s">
        <v>1051</v>
      </c>
      <c r="B855" s="33" t="s">
        <v>221</v>
      </c>
      <c r="C855" s="45" t="s">
        <v>1193</v>
      </c>
      <c r="D855" s="10">
        <v>8285</v>
      </c>
      <c r="E855" s="10"/>
      <c r="F855" s="60" t="s">
        <v>52</v>
      </c>
      <c r="G855" s="37" t="s">
        <v>1202</v>
      </c>
      <c r="H855" s="75">
        <v>41485</v>
      </c>
      <c r="I855" s="38" t="s">
        <v>1204</v>
      </c>
      <c r="J855" s="15">
        <v>41505</v>
      </c>
      <c r="K855" s="3"/>
    </row>
    <row r="856" spans="1:11" x14ac:dyDescent="0.25">
      <c r="A856" s="53" t="s">
        <v>1052</v>
      </c>
      <c r="B856" s="11" t="s">
        <v>257</v>
      </c>
      <c r="C856" s="45" t="s">
        <v>1194</v>
      </c>
      <c r="D856" s="10">
        <v>8285</v>
      </c>
      <c r="E856" s="10"/>
      <c r="F856" s="60" t="s">
        <v>27</v>
      </c>
      <c r="G856" s="37" t="s">
        <v>1202</v>
      </c>
      <c r="H856" s="75">
        <v>41485</v>
      </c>
      <c r="I856" s="38" t="s">
        <v>1204</v>
      </c>
      <c r="J856" s="15">
        <v>41505</v>
      </c>
      <c r="K856" s="3"/>
    </row>
    <row r="857" spans="1:11" x14ac:dyDescent="0.25">
      <c r="A857" s="53" t="s">
        <v>1053</v>
      </c>
      <c r="B857" s="33" t="s">
        <v>221</v>
      </c>
      <c r="C857" s="45" t="s">
        <v>1195</v>
      </c>
      <c r="D857" s="10">
        <v>8285</v>
      </c>
      <c r="E857" s="10"/>
      <c r="F857" s="60" t="s">
        <v>623</v>
      </c>
      <c r="G857" s="37" t="s">
        <v>1202</v>
      </c>
      <c r="H857" s="75">
        <v>41486</v>
      </c>
      <c r="I857" s="38" t="s">
        <v>1204</v>
      </c>
      <c r="J857" s="15">
        <v>41501</v>
      </c>
      <c r="K857" s="3"/>
    </row>
    <row r="858" spans="1:11" x14ac:dyDescent="0.25">
      <c r="A858" s="53" t="s">
        <v>1054</v>
      </c>
      <c r="B858" s="33" t="s">
        <v>221</v>
      </c>
      <c r="C858" s="45" t="s">
        <v>1196</v>
      </c>
      <c r="D858" s="10">
        <v>8285</v>
      </c>
      <c r="E858" s="10"/>
      <c r="F858" s="60" t="s">
        <v>623</v>
      </c>
      <c r="G858" s="37" t="s">
        <v>1202</v>
      </c>
      <c r="H858" s="75">
        <v>41486</v>
      </c>
      <c r="I858" s="38" t="s">
        <v>1204</v>
      </c>
      <c r="J858" s="15">
        <v>41501</v>
      </c>
      <c r="K858" s="3"/>
    </row>
    <row r="859" spans="1:11" x14ac:dyDescent="0.25">
      <c r="A859" s="53" t="s">
        <v>1055</v>
      </c>
      <c r="B859" s="33" t="s">
        <v>221</v>
      </c>
      <c r="C859" s="45" t="s">
        <v>1197</v>
      </c>
      <c r="D859" s="10">
        <v>8285</v>
      </c>
      <c r="E859" s="10"/>
      <c r="F859" s="60" t="s">
        <v>1200</v>
      </c>
      <c r="G859" s="37" t="s">
        <v>1202</v>
      </c>
      <c r="H859" s="75">
        <v>41487</v>
      </c>
      <c r="I859" s="38" t="s">
        <v>1204</v>
      </c>
      <c r="J859" s="15">
        <v>41501</v>
      </c>
      <c r="K859" s="3"/>
    </row>
    <row r="860" spans="1:11" x14ac:dyDescent="0.25">
      <c r="A860" s="53" t="s">
        <v>1056</v>
      </c>
      <c r="B860" s="33" t="s">
        <v>221</v>
      </c>
      <c r="C860" s="45" t="s">
        <v>1198</v>
      </c>
      <c r="D860" s="10">
        <v>8285</v>
      </c>
      <c r="E860" s="10"/>
      <c r="F860" s="60" t="s">
        <v>1200</v>
      </c>
      <c r="G860" s="37" t="s">
        <v>1202</v>
      </c>
      <c r="H860" s="75">
        <v>41487</v>
      </c>
      <c r="I860" s="38" t="s">
        <v>1204</v>
      </c>
      <c r="J860" s="15">
        <v>41501</v>
      </c>
      <c r="K860" s="3"/>
    </row>
    <row r="861" spans="1:11" x14ac:dyDescent="0.25">
      <c r="A861" s="53" t="s">
        <v>1057</v>
      </c>
      <c r="B861" s="33" t="s">
        <v>221</v>
      </c>
      <c r="C861" s="45" t="s">
        <v>1199</v>
      </c>
      <c r="D861" s="10">
        <v>8285</v>
      </c>
      <c r="E861" s="10"/>
      <c r="F861" s="60" t="s">
        <v>1200</v>
      </c>
      <c r="G861" s="37" t="s">
        <v>1202</v>
      </c>
      <c r="H861" s="75">
        <v>41487</v>
      </c>
      <c r="I861" s="38" t="s">
        <v>1204</v>
      </c>
      <c r="J861" s="15">
        <v>41501</v>
      </c>
      <c r="K861" s="3"/>
    </row>
    <row r="862" spans="1:11" ht="25" x14ac:dyDescent="0.25">
      <c r="A862" s="53" t="s">
        <v>1058</v>
      </c>
      <c r="B862" s="11" t="s">
        <v>1507</v>
      </c>
      <c r="C862" s="80" t="s">
        <v>1510</v>
      </c>
      <c r="D862" s="10">
        <v>8247</v>
      </c>
      <c r="E862" s="10"/>
      <c r="F862" s="60" t="s">
        <v>1474</v>
      </c>
      <c r="G862" s="37" t="s">
        <v>1201</v>
      </c>
      <c r="H862" s="100">
        <v>41492</v>
      </c>
      <c r="I862" s="10"/>
      <c r="J862" s="10"/>
      <c r="K862" s="3"/>
    </row>
    <row r="863" spans="1:11" ht="25" x14ac:dyDescent="0.25">
      <c r="A863" s="53" t="s">
        <v>1059</v>
      </c>
      <c r="B863" s="11" t="s">
        <v>1507</v>
      </c>
      <c r="C863" s="80" t="s">
        <v>1511</v>
      </c>
      <c r="D863" s="10">
        <v>8247</v>
      </c>
      <c r="E863" s="10"/>
      <c r="F863" s="60" t="s">
        <v>1474</v>
      </c>
      <c r="G863" s="37" t="s">
        <v>1201</v>
      </c>
      <c r="H863" s="100">
        <v>41492</v>
      </c>
      <c r="I863" s="10"/>
      <c r="J863" s="10"/>
      <c r="K863" s="3"/>
    </row>
    <row r="864" spans="1:11" ht="25" x14ac:dyDescent="0.25">
      <c r="A864" s="53" t="s">
        <v>1060</v>
      </c>
      <c r="B864" s="11" t="s">
        <v>1507</v>
      </c>
      <c r="C864" s="80" t="s">
        <v>1513</v>
      </c>
      <c r="D864" s="10">
        <v>8247</v>
      </c>
      <c r="E864" s="10"/>
      <c r="F864" s="60" t="s">
        <v>1474</v>
      </c>
      <c r="G864" s="37" t="s">
        <v>1201</v>
      </c>
      <c r="H864" s="100">
        <v>41492</v>
      </c>
      <c r="I864" s="10"/>
      <c r="J864" s="10"/>
      <c r="K864" s="3"/>
    </row>
    <row r="865" spans="1:11" ht="25" x14ac:dyDescent="0.25">
      <c r="A865" s="53" t="s">
        <v>1061</v>
      </c>
      <c r="B865" s="11" t="s">
        <v>1507</v>
      </c>
      <c r="C865" s="80" t="s">
        <v>1512</v>
      </c>
      <c r="D865" s="10">
        <v>8247</v>
      </c>
      <c r="E865" s="10"/>
      <c r="F865" s="60" t="s">
        <v>1474</v>
      </c>
      <c r="G865" s="37" t="s">
        <v>1201</v>
      </c>
      <c r="H865" s="100">
        <v>41492</v>
      </c>
      <c r="I865" s="10"/>
      <c r="J865" s="10"/>
      <c r="K865" s="3"/>
    </row>
    <row r="866" spans="1:11" ht="25" x14ac:dyDescent="0.25">
      <c r="A866" s="53" t="s">
        <v>1062</v>
      </c>
      <c r="B866" s="11" t="s">
        <v>1507</v>
      </c>
      <c r="C866" s="80" t="s">
        <v>1516</v>
      </c>
      <c r="D866" s="10">
        <v>8247</v>
      </c>
      <c r="E866" s="10"/>
      <c r="F866" s="60" t="s">
        <v>33</v>
      </c>
      <c r="G866" s="37" t="s">
        <v>1201</v>
      </c>
      <c r="H866" s="100">
        <v>41492</v>
      </c>
      <c r="I866" s="10"/>
      <c r="J866" s="10"/>
      <c r="K866" s="3"/>
    </row>
    <row r="867" spans="1:11" ht="25" x14ac:dyDescent="0.25">
      <c r="A867" s="53" t="s">
        <v>1063</v>
      </c>
      <c r="B867" s="11" t="s">
        <v>1507</v>
      </c>
      <c r="C867" s="80" t="s">
        <v>1514</v>
      </c>
      <c r="D867" s="10">
        <v>8247</v>
      </c>
      <c r="E867" s="10"/>
      <c r="F867" s="60" t="s">
        <v>1474</v>
      </c>
      <c r="G867" s="37" t="s">
        <v>1201</v>
      </c>
      <c r="H867" s="100">
        <v>41492</v>
      </c>
      <c r="I867" s="10"/>
      <c r="J867" s="10"/>
      <c r="K867" s="3"/>
    </row>
    <row r="868" spans="1:11" ht="25" x14ac:dyDescent="0.25">
      <c r="A868" s="53" t="s">
        <v>1064</v>
      </c>
      <c r="B868" s="11" t="s">
        <v>1507</v>
      </c>
      <c r="C868" s="80" t="s">
        <v>1515</v>
      </c>
      <c r="D868" s="10">
        <v>8247</v>
      </c>
      <c r="E868" s="10"/>
      <c r="F868" s="60" t="s">
        <v>1474</v>
      </c>
      <c r="G868" s="37" t="s">
        <v>1201</v>
      </c>
      <c r="H868" s="100">
        <v>41492</v>
      </c>
      <c r="I868" s="10"/>
      <c r="J868" s="10"/>
      <c r="K868" s="3"/>
    </row>
    <row r="869" spans="1:11" x14ac:dyDescent="0.25">
      <c r="A869" s="53" t="s">
        <v>1065</v>
      </c>
      <c r="B869" s="33" t="s">
        <v>221</v>
      </c>
      <c r="C869" s="45" t="s">
        <v>1206</v>
      </c>
      <c r="D869" s="10">
        <v>8247</v>
      </c>
      <c r="E869" s="10"/>
      <c r="F869" s="60" t="s">
        <v>623</v>
      </c>
      <c r="G869" s="37" t="s">
        <v>1201</v>
      </c>
      <c r="H869" s="75">
        <v>41493</v>
      </c>
      <c r="I869" s="10"/>
      <c r="J869" s="10"/>
      <c r="K869" s="3"/>
    </row>
    <row r="870" spans="1:11" x14ac:dyDescent="0.25">
      <c r="A870" s="53" t="s">
        <v>1066</v>
      </c>
      <c r="B870" s="33" t="s">
        <v>221</v>
      </c>
      <c r="C870" s="45" t="s">
        <v>1207</v>
      </c>
      <c r="D870" s="10">
        <v>8247</v>
      </c>
      <c r="E870" s="10"/>
      <c r="F870" s="60" t="s">
        <v>623</v>
      </c>
      <c r="G870" s="37" t="s">
        <v>1201</v>
      </c>
      <c r="H870" s="75">
        <v>41493</v>
      </c>
      <c r="I870" s="10"/>
      <c r="J870" s="10"/>
      <c r="K870" s="43" t="s">
        <v>1527</v>
      </c>
    </row>
    <row r="871" spans="1:11" x14ac:dyDescent="0.25">
      <c r="A871" s="53" t="s">
        <v>1067</v>
      </c>
      <c r="B871" s="33" t="s">
        <v>221</v>
      </c>
      <c r="C871" s="45" t="s">
        <v>1208</v>
      </c>
      <c r="D871" s="10">
        <v>8247</v>
      </c>
      <c r="E871" s="10"/>
      <c r="F871" s="60" t="s">
        <v>623</v>
      </c>
      <c r="G871" s="37" t="s">
        <v>1201</v>
      </c>
      <c r="H871" s="75">
        <v>41493</v>
      </c>
      <c r="I871" s="10"/>
      <c r="J871" s="10"/>
      <c r="K871" s="3"/>
    </row>
    <row r="872" spans="1:11" x14ac:dyDescent="0.25">
      <c r="A872" s="53" t="s">
        <v>1068</v>
      </c>
      <c r="B872" s="33" t="s">
        <v>221</v>
      </c>
      <c r="C872" s="45" t="s">
        <v>1209</v>
      </c>
      <c r="D872" s="10">
        <v>8247</v>
      </c>
      <c r="E872" s="10"/>
      <c r="F872" s="60" t="s">
        <v>623</v>
      </c>
      <c r="G872" s="37" t="s">
        <v>1201</v>
      </c>
      <c r="H872" s="75">
        <v>41493</v>
      </c>
      <c r="I872" s="10"/>
      <c r="J872" s="10"/>
      <c r="K872" s="3"/>
    </row>
    <row r="873" spans="1:11" x14ac:dyDescent="0.25">
      <c r="A873" s="53" t="s">
        <v>1069</v>
      </c>
      <c r="B873" s="33" t="s">
        <v>221</v>
      </c>
      <c r="C873" s="45" t="s">
        <v>1210</v>
      </c>
      <c r="D873" s="10">
        <v>8247</v>
      </c>
      <c r="E873" s="10"/>
      <c r="F873" s="60" t="s">
        <v>623</v>
      </c>
      <c r="G873" s="37" t="s">
        <v>1201</v>
      </c>
      <c r="H873" s="75">
        <v>41493</v>
      </c>
      <c r="I873" s="10"/>
      <c r="J873" s="10"/>
      <c r="K873" s="3"/>
    </row>
    <row r="874" spans="1:11" x14ac:dyDescent="0.25">
      <c r="A874" s="53" t="s">
        <v>1070</v>
      </c>
      <c r="B874" s="33" t="s">
        <v>221</v>
      </c>
      <c r="C874" s="45" t="s">
        <v>1211</v>
      </c>
      <c r="D874" s="10">
        <v>8247</v>
      </c>
      <c r="E874" s="10"/>
      <c r="F874" s="60" t="s">
        <v>623</v>
      </c>
      <c r="G874" s="37" t="s">
        <v>1201</v>
      </c>
      <c r="H874" s="75">
        <v>41493</v>
      </c>
      <c r="I874" s="10"/>
      <c r="J874" s="10"/>
      <c r="K874" s="3"/>
    </row>
    <row r="875" spans="1:11" x14ac:dyDescent="0.25">
      <c r="A875" s="53" t="s">
        <v>1071</v>
      </c>
      <c r="B875" s="33" t="s">
        <v>221</v>
      </c>
      <c r="C875" s="45" t="s">
        <v>1212</v>
      </c>
      <c r="D875" s="10">
        <v>8247</v>
      </c>
      <c r="E875" s="10"/>
      <c r="F875" s="60" t="s">
        <v>623</v>
      </c>
      <c r="G875" s="37" t="s">
        <v>1179</v>
      </c>
      <c r="H875" s="75">
        <v>41493</v>
      </c>
      <c r="I875" s="10"/>
      <c r="J875" s="10"/>
      <c r="K875" s="3"/>
    </row>
    <row r="876" spans="1:11" x14ac:dyDescent="0.25">
      <c r="A876" s="53" t="s">
        <v>1072</v>
      </c>
      <c r="B876" s="33" t="s">
        <v>221</v>
      </c>
      <c r="C876" s="45" t="s">
        <v>1213</v>
      </c>
      <c r="D876" s="10">
        <v>8247</v>
      </c>
      <c r="E876" s="10"/>
      <c r="F876" s="60" t="s">
        <v>623</v>
      </c>
      <c r="G876" s="37" t="s">
        <v>1179</v>
      </c>
      <c r="H876" s="75">
        <v>41493</v>
      </c>
      <c r="I876" s="10"/>
      <c r="J876" s="10"/>
      <c r="K876" s="3"/>
    </row>
    <row r="877" spans="1:11" x14ac:dyDescent="0.25">
      <c r="A877" s="53" t="s">
        <v>1073</v>
      </c>
      <c r="B877" s="33" t="s">
        <v>221</v>
      </c>
      <c r="C877" s="45" t="s">
        <v>1214</v>
      </c>
      <c r="D877" s="10">
        <v>8247</v>
      </c>
      <c r="E877" s="10"/>
      <c r="F877" s="60" t="s">
        <v>623</v>
      </c>
      <c r="G877" s="37" t="s">
        <v>1179</v>
      </c>
      <c r="H877" s="75">
        <v>41493</v>
      </c>
      <c r="I877" s="10"/>
      <c r="J877" s="10"/>
      <c r="K877" s="3"/>
    </row>
    <row r="878" spans="1:11" x14ac:dyDescent="0.25">
      <c r="A878" s="53" t="s">
        <v>1074</v>
      </c>
      <c r="B878" s="33" t="s">
        <v>221</v>
      </c>
      <c r="C878" s="45" t="s">
        <v>1215</v>
      </c>
      <c r="D878" s="10">
        <v>8247</v>
      </c>
      <c r="E878" s="10"/>
      <c r="F878" s="60" t="s">
        <v>623</v>
      </c>
      <c r="G878" s="37" t="s">
        <v>1179</v>
      </c>
      <c r="H878" s="75">
        <v>41493</v>
      </c>
      <c r="I878" s="10"/>
      <c r="J878" s="10"/>
      <c r="K878" s="3"/>
    </row>
    <row r="879" spans="1:11" x14ac:dyDescent="0.25">
      <c r="A879" s="53" t="s">
        <v>1075</v>
      </c>
      <c r="B879" s="33" t="s">
        <v>221</v>
      </c>
      <c r="C879" s="45" t="s">
        <v>1216</v>
      </c>
      <c r="D879" s="10">
        <v>8247</v>
      </c>
      <c r="E879" s="10"/>
      <c r="F879" s="60" t="s">
        <v>623</v>
      </c>
      <c r="G879" s="37" t="s">
        <v>1179</v>
      </c>
      <c r="H879" s="75">
        <v>41493</v>
      </c>
      <c r="I879" s="10"/>
      <c r="J879" s="10"/>
      <c r="K879" s="3"/>
    </row>
    <row r="880" spans="1:11" x14ac:dyDescent="0.25">
      <c r="A880" s="53" t="s">
        <v>1076</v>
      </c>
      <c r="B880" s="33" t="s">
        <v>221</v>
      </c>
      <c r="C880" s="45" t="s">
        <v>1217</v>
      </c>
      <c r="D880" s="10">
        <v>8304</v>
      </c>
      <c r="E880" s="10"/>
      <c r="F880" s="60" t="s">
        <v>52</v>
      </c>
      <c r="G880" s="37" t="s">
        <v>1202</v>
      </c>
      <c r="H880" s="75">
        <v>41499</v>
      </c>
      <c r="I880" s="38" t="s">
        <v>1205</v>
      </c>
      <c r="J880" s="15">
        <v>41500</v>
      </c>
      <c r="K880" s="3"/>
    </row>
    <row r="881" spans="1:11" x14ac:dyDescent="0.25">
      <c r="A881" s="53" t="s">
        <v>1077</v>
      </c>
      <c r="B881" s="11" t="s">
        <v>257</v>
      </c>
      <c r="C881" s="45" t="s">
        <v>1338</v>
      </c>
      <c r="D881" s="37" t="s">
        <v>1032</v>
      </c>
      <c r="E881" s="10"/>
      <c r="F881" s="60" t="s">
        <v>827</v>
      </c>
      <c r="G881" s="37" t="s">
        <v>1203</v>
      </c>
      <c r="H881" s="75">
        <v>41500</v>
      </c>
      <c r="I881" s="10"/>
      <c r="J881" s="15">
        <v>41521</v>
      </c>
      <c r="K881" s="3"/>
    </row>
    <row r="882" spans="1:11" x14ac:dyDescent="0.25">
      <c r="A882" s="53" t="s">
        <v>1078</v>
      </c>
      <c r="B882" s="33" t="s">
        <v>221</v>
      </c>
      <c r="C882" s="45" t="s">
        <v>1218</v>
      </c>
      <c r="D882" s="10">
        <v>8302</v>
      </c>
      <c r="E882" s="10"/>
      <c r="F882" s="60" t="s">
        <v>52</v>
      </c>
      <c r="G882" s="37" t="s">
        <v>1202</v>
      </c>
      <c r="H882" s="75">
        <v>41514</v>
      </c>
      <c r="I882" s="10"/>
      <c r="J882" s="15">
        <v>41522</v>
      </c>
      <c r="K882" s="3"/>
    </row>
    <row r="883" spans="1:11" x14ac:dyDescent="0.25">
      <c r="A883" s="53" t="s">
        <v>1079</v>
      </c>
      <c r="B883" s="11" t="s">
        <v>257</v>
      </c>
      <c r="C883" s="45" t="s">
        <v>1219</v>
      </c>
      <c r="D883" s="10">
        <v>8308</v>
      </c>
      <c r="E883" s="10"/>
      <c r="F883" s="60" t="s">
        <v>27</v>
      </c>
      <c r="G883" s="37" t="s">
        <v>1181</v>
      </c>
      <c r="H883" s="75">
        <v>41521</v>
      </c>
      <c r="I883" s="38" t="s">
        <v>1181</v>
      </c>
      <c r="J883" s="15">
        <v>41521</v>
      </c>
      <c r="K883" s="3"/>
    </row>
    <row r="884" spans="1:11" x14ac:dyDescent="0.25">
      <c r="A884" s="53" t="s">
        <v>1080</v>
      </c>
      <c r="B884" s="11" t="s">
        <v>257</v>
      </c>
      <c r="C884" s="45" t="s">
        <v>1220</v>
      </c>
      <c r="D884" s="10">
        <v>8309</v>
      </c>
      <c r="E884" s="10"/>
      <c r="F884" s="60" t="s">
        <v>27</v>
      </c>
      <c r="G884" s="37" t="s">
        <v>1181</v>
      </c>
      <c r="H884" s="75">
        <v>41521</v>
      </c>
      <c r="I884" s="38" t="s">
        <v>1181</v>
      </c>
      <c r="J884" s="15">
        <v>41522</v>
      </c>
      <c r="K884" s="3"/>
    </row>
    <row r="885" spans="1:11" x14ac:dyDescent="0.25">
      <c r="A885" s="53" t="s">
        <v>1081</v>
      </c>
      <c r="B885" s="33" t="s">
        <v>221</v>
      </c>
      <c r="C885" s="45" t="s">
        <v>1221</v>
      </c>
      <c r="D885" s="10">
        <v>8308</v>
      </c>
      <c r="E885" s="10"/>
      <c r="F885" s="60" t="s">
        <v>52</v>
      </c>
      <c r="G885" s="37" t="s">
        <v>1202</v>
      </c>
      <c r="H885" s="75">
        <v>41530</v>
      </c>
      <c r="I885" s="10"/>
      <c r="J885" s="10"/>
      <c r="K885" s="3"/>
    </row>
    <row r="886" spans="1:11" x14ac:dyDescent="0.25">
      <c r="A886" s="53" t="s">
        <v>1082</v>
      </c>
      <c r="B886" s="33" t="s">
        <v>221</v>
      </c>
      <c r="C886" s="45" t="s">
        <v>1222</v>
      </c>
      <c r="D886" s="10">
        <v>8308</v>
      </c>
      <c r="E886" s="10"/>
      <c r="F886" s="60" t="s">
        <v>52</v>
      </c>
      <c r="G886" s="37" t="s">
        <v>1202</v>
      </c>
      <c r="H886" s="75">
        <v>41530</v>
      </c>
      <c r="I886" s="10"/>
      <c r="J886" s="10"/>
      <c r="K886" s="3"/>
    </row>
    <row r="887" spans="1:11" x14ac:dyDescent="0.25">
      <c r="A887" s="53" t="s">
        <v>1083</v>
      </c>
      <c r="B887" s="33" t="s">
        <v>221</v>
      </c>
      <c r="C887" s="45" t="s">
        <v>1223</v>
      </c>
      <c r="D887" s="10">
        <v>8308</v>
      </c>
      <c r="E887" s="10"/>
      <c r="F887" s="60" t="s">
        <v>52</v>
      </c>
      <c r="G887" s="37" t="s">
        <v>1201</v>
      </c>
      <c r="H887" s="75">
        <v>41530</v>
      </c>
      <c r="I887" s="10"/>
      <c r="J887" s="10"/>
      <c r="K887" s="3"/>
    </row>
    <row r="888" spans="1:11" x14ac:dyDescent="0.25">
      <c r="A888" s="53" t="s">
        <v>1084</v>
      </c>
      <c r="B888" s="33" t="s">
        <v>221</v>
      </c>
      <c r="C888" s="45" t="s">
        <v>1224</v>
      </c>
      <c r="D888" s="10">
        <v>8308</v>
      </c>
      <c r="E888" s="10"/>
      <c r="F888" s="60" t="s">
        <v>52</v>
      </c>
      <c r="G888" s="37" t="s">
        <v>1201</v>
      </c>
      <c r="H888" s="75">
        <v>41530</v>
      </c>
      <c r="I888" s="10"/>
      <c r="J888" s="10"/>
      <c r="K888" s="3"/>
    </row>
    <row r="889" spans="1:11" x14ac:dyDescent="0.25">
      <c r="A889" s="53" t="s">
        <v>1085</v>
      </c>
      <c r="B889" s="33" t="s">
        <v>221</v>
      </c>
      <c r="C889" s="45" t="s">
        <v>1340</v>
      </c>
      <c r="D889" s="10">
        <v>8290</v>
      </c>
      <c r="E889" s="10"/>
      <c r="F889" s="60" t="s">
        <v>623</v>
      </c>
      <c r="G889" s="37" t="s">
        <v>1202</v>
      </c>
      <c r="H889" s="75">
        <v>41533</v>
      </c>
      <c r="I889" s="10"/>
      <c r="J889" s="10"/>
      <c r="K889" s="43"/>
    </row>
    <row r="890" spans="1:11" x14ac:dyDescent="0.25">
      <c r="A890" s="53" t="s">
        <v>1086</v>
      </c>
      <c r="B890" s="33" t="s">
        <v>221</v>
      </c>
      <c r="C890" s="45" t="s">
        <v>1226</v>
      </c>
      <c r="D890" s="10">
        <v>8290</v>
      </c>
      <c r="E890" s="10"/>
      <c r="F890" s="60" t="s">
        <v>623</v>
      </c>
      <c r="G890" s="37" t="s">
        <v>1202</v>
      </c>
      <c r="H890" s="75">
        <v>41533</v>
      </c>
      <c r="I890" s="10"/>
      <c r="J890" s="10"/>
      <c r="K890" s="3"/>
    </row>
    <row r="891" spans="1:11" x14ac:dyDescent="0.25">
      <c r="A891" s="53" t="s">
        <v>1087</v>
      </c>
      <c r="B891" s="33" t="s">
        <v>221</v>
      </c>
      <c r="C891" s="45" t="s">
        <v>1227</v>
      </c>
      <c r="D891" s="10">
        <v>8290</v>
      </c>
      <c r="E891" s="10"/>
      <c r="F891" s="60" t="s">
        <v>623</v>
      </c>
      <c r="G891" s="37" t="s">
        <v>1202</v>
      </c>
      <c r="H891" s="75">
        <v>41533</v>
      </c>
      <c r="I891" s="10"/>
      <c r="J891" s="10"/>
      <c r="K891" s="3"/>
    </row>
    <row r="892" spans="1:11" x14ac:dyDescent="0.25">
      <c r="A892" s="53" t="s">
        <v>1088</v>
      </c>
      <c r="B892" s="33" t="s">
        <v>221</v>
      </c>
      <c r="C892" s="45" t="s">
        <v>1228</v>
      </c>
      <c r="D892" s="10">
        <v>8290</v>
      </c>
      <c r="E892" s="10"/>
      <c r="F892" s="60" t="s">
        <v>623</v>
      </c>
      <c r="G892" s="37" t="s">
        <v>1201</v>
      </c>
      <c r="H892" s="75">
        <v>41533</v>
      </c>
      <c r="I892" s="10"/>
      <c r="J892" s="10"/>
      <c r="K892" s="3"/>
    </row>
    <row r="893" spans="1:11" x14ac:dyDescent="0.25">
      <c r="A893" s="53" t="s">
        <v>1089</v>
      </c>
      <c r="B893" s="33" t="s">
        <v>221</v>
      </c>
      <c r="C893" s="45" t="s">
        <v>1229</v>
      </c>
      <c r="D893" s="10">
        <v>8290</v>
      </c>
      <c r="E893" s="10"/>
      <c r="F893" s="60" t="s">
        <v>623</v>
      </c>
      <c r="G893" s="37" t="s">
        <v>1201</v>
      </c>
      <c r="H893" s="75">
        <v>41533</v>
      </c>
      <c r="I893" s="10"/>
      <c r="J893" s="10"/>
      <c r="K893" s="3"/>
    </row>
    <row r="894" spans="1:11" x14ac:dyDescent="0.25">
      <c r="A894" s="53" t="s">
        <v>1090</v>
      </c>
      <c r="B894" s="33" t="s">
        <v>221</v>
      </c>
      <c r="C894" s="45" t="s">
        <v>1230</v>
      </c>
      <c r="D894" s="10">
        <v>8290</v>
      </c>
      <c r="E894" s="10"/>
      <c r="F894" s="60" t="s">
        <v>623</v>
      </c>
      <c r="G894" s="37" t="s">
        <v>1201</v>
      </c>
      <c r="H894" s="75">
        <v>41533</v>
      </c>
      <c r="I894" s="10"/>
      <c r="J894" s="10"/>
      <c r="K894" s="3"/>
    </row>
    <row r="895" spans="1:11" x14ac:dyDescent="0.25">
      <c r="A895" s="53" t="s">
        <v>1091</v>
      </c>
      <c r="B895" s="33" t="s">
        <v>221</v>
      </c>
      <c r="C895" s="45" t="s">
        <v>1231</v>
      </c>
      <c r="D895" s="10">
        <v>8290</v>
      </c>
      <c r="E895" s="10"/>
      <c r="F895" s="60" t="s">
        <v>623</v>
      </c>
      <c r="G895" s="37" t="s">
        <v>1201</v>
      </c>
      <c r="H895" s="75">
        <v>41533</v>
      </c>
      <c r="I895" s="10"/>
      <c r="J895" s="10"/>
      <c r="K895" s="3"/>
    </row>
    <row r="896" spans="1:11" x14ac:dyDescent="0.25">
      <c r="A896" s="53" t="s">
        <v>1092</v>
      </c>
      <c r="B896" s="11" t="s">
        <v>257</v>
      </c>
      <c r="C896" s="45" t="s">
        <v>1232</v>
      </c>
      <c r="D896" s="10">
        <v>8307</v>
      </c>
      <c r="E896" s="10"/>
      <c r="F896" s="60" t="s">
        <v>27</v>
      </c>
      <c r="G896" s="37" t="s">
        <v>1203</v>
      </c>
      <c r="H896" s="75">
        <v>41537</v>
      </c>
      <c r="I896" s="10"/>
      <c r="J896" s="10"/>
      <c r="K896" s="3"/>
    </row>
    <row r="897" spans="1:11" x14ac:dyDescent="0.25">
      <c r="A897" s="53" t="s">
        <v>1093</v>
      </c>
      <c r="B897" s="11" t="s">
        <v>257</v>
      </c>
      <c r="C897" s="45" t="s">
        <v>1233</v>
      </c>
      <c r="D897" s="10">
        <v>8310</v>
      </c>
      <c r="E897" s="10"/>
      <c r="F897" s="60" t="s">
        <v>27</v>
      </c>
      <c r="G897" s="37" t="s">
        <v>1203</v>
      </c>
      <c r="H897" s="75">
        <v>41537</v>
      </c>
      <c r="I897" s="10"/>
      <c r="J897" s="10"/>
      <c r="K897" s="3"/>
    </row>
    <row r="898" spans="1:11" x14ac:dyDescent="0.25">
      <c r="A898" s="53" t="s">
        <v>1094</v>
      </c>
      <c r="B898" s="33" t="s">
        <v>221</v>
      </c>
      <c r="C898" s="45" t="s">
        <v>1234</v>
      </c>
      <c r="D898" s="10">
        <v>8309</v>
      </c>
      <c r="E898" s="10"/>
      <c r="F898" s="60" t="s">
        <v>52</v>
      </c>
      <c r="G898" s="37" t="s">
        <v>1203</v>
      </c>
      <c r="H898" s="75">
        <v>41541</v>
      </c>
      <c r="I898" s="10"/>
      <c r="J898" s="10"/>
      <c r="K898" s="3"/>
    </row>
    <row r="899" spans="1:11" x14ac:dyDescent="0.25">
      <c r="A899" s="53" t="s">
        <v>1095</v>
      </c>
      <c r="B899" s="33" t="s">
        <v>221</v>
      </c>
      <c r="C899" s="45" t="s">
        <v>1235</v>
      </c>
      <c r="D899" s="10">
        <v>8309</v>
      </c>
      <c r="E899" s="10"/>
      <c r="F899" s="60" t="s">
        <v>52</v>
      </c>
      <c r="G899" s="37" t="s">
        <v>1203</v>
      </c>
      <c r="H899" s="75">
        <v>41541</v>
      </c>
      <c r="I899" s="10"/>
      <c r="J899" s="10"/>
      <c r="K899" s="3"/>
    </row>
    <row r="900" spans="1:11" x14ac:dyDescent="0.25">
      <c r="A900" s="53" t="s">
        <v>1096</v>
      </c>
      <c r="B900" s="33" t="s">
        <v>221</v>
      </c>
      <c r="C900" s="45" t="s">
        <v>1236</v>
      </c>
      <c r="D900" s="10">
        <v>8309</v>
      </c>
      <c r="E900" s="10"/>
      <c r="F900" s="60" t="s">
        <v>52</v>
      </c>
      <c r="G900" s="37" t="s">
        <v>1203</v>
      </c>
      <c r="H900" s="75">
        <v>41541</v>
      </c>
      <c r="I900" s="10"/>
      <c r="J900" s="10"/>
      <c r="K900" s="3"/>
    </row>
    <row r="901" spans="1:11" x14ac:dyDescent="0.25">
      <c r="A901" s="53" t="s">
        <v>1097</v>
      </c>
      <c r="B901" s="33" t="s">
        <v>221</v>
      </c>
      <c r="C901" s="45" t="s">
        <v>1237</v>
      </c>
      <c r="D901" s="10">
        <v>8309</v>
      </c>
      <c r="E901" s="10"/>
      <c r="F901" s="60" t="s">
        <v>52</v>
      </c>
      <c r="G901" s="37" t="s">
        <v>1203</v>
      </c>
      <c r="H901" s="75">
        <v>41541</v>
      </c>
      <c r="I901" s="10"/>
      <c r="J901" s="10"/>
      <c r="K901" s="3"/>
    </row>
    <row r="902" spans="1:11" x14ac:dyDescent="0.25">
      <c r="A902" s="53" t="s">
        <v>1098</v>
      </c>
      <c r="B902" s="33" t="s">
        <v>221</v>
      </c>
      <c r="C902" s="45" t="s">
        <v>1238</v>
      </c>
      <c r="D902" s="10">
        <v>8310</v>
      </c>
      <c r="E902" s="10"/>
      <c r="F902" s="60" t="s">
        <v>52</v>
      </c>
      <c r="G902" s="37" t="s">
        <v>1179</v>
      </c>
      <c r="H902" s="75">
        <v>41541</v>
      </c>
      <c r="I902" s="10"/>
      <c r="J902" s="10"/>
      <c r="K902" s="3"/>
    </row>
    <row r="903" spans="1:11" x14ac:dyDescent="0.25">
      <c r="A903" s="53" t="s">
        <v>1099</v>
      </c>
      <c r="B903" s="33" t="s">
        <v>221</v>
      </c>
      <c r="C903" s="45" t="s">
        <v>1239</v>
      </c>
      <c r="D903" s="10">
        <v>8310</v>
      </c>
      <c r="E903" s="10"/>
      <c r="F903" s="60" t="s">
        <v>52</v>
      </c>
      <c r="G903" s="37" t="s">
        <v>1179</v>
      </c>
      <c r="H903" s="75">
        <v>41541</v>
      </c>
      <c r="I903" s="10"/>
      <c r="J903" s="10"/>
      <c r="K903" s="3"/>
    </row>
    <row r="904" spans="1:11" x14ac:dyDescent="0.25">
      <c r="A904" s="53" t="s">
        <v>1100</v>
      </c>
      <c r="B904" s="33" t="s">
        <v>221</v>
      </c>
      <c r="C904" s="45" t="s">
        <v>1240</v>
      </c>
      <c r="D904" s="10">
        <v>8310</v>
      </c>
      <c r="E904" s="10"/>
      <c r="F904" s="60" t="s">
        <v>52</v>
      </c>
      <c r="G904" s="37" t="s">
        <v>1179</v>
      </c>
      <c r="H904" s="75">
        <v>41541</v>
      </c>
      <c r="I904" s="10"/>
      <c r="J904" s="10"/>
      <c r="K904" s="3"/>
    </row>
    <row r="905" spans="1:11" x14ac:dyDescent="0.25">
      <c r="A905" s="53" t="s">
        <v>1101</v>
      </c>
      <c r="B905" s="33" t="s">
        <v>221</v>
      </c>
      <c r="C905" s="45" t="s">
        <v>1241</v>
      </c>
      <c r="D905" s="10">
        <v>8310</v>
      </c>
      <c r="E905" s="10"/>
      <c r="F905" s="60" t="s">
        <v>52</v>
      </c>
      <c r="G905" s="37" t="s">
        <v>1179</v>
      </c>
      <c r="H905" s="75">
        <v>41541</v>
      </c>
      <c r="I905" s="10"/>
      <c r="J905" s="10"/>
      <c r="K905" s="3"/>
    </row>
    <row r="906" spans="1:11" x14ac:dyDescent="0.25">
      <c r="A906" s="53" t="s">
        <v>1102</v>
      </c>
      <c r="B906" s="33" t="s">
        <v>221</v>
      </c>
      <c r="C906" s="24" t="s">
        <v>1243</v>
      </c>
      <c r="D906" s="10">
        <v>8310</v>
      </c>
      <c r="E906" s="10"/>
      <c r="F906" s="60" t="s">
        <v>52</v>
      </c>
      <c r="G906" s="37" t="s">
        <v>1179</v>
      </c>
      <c r="H906" s="75">
        <v>41541</v>
      </c>
      <c r="I906" s="10"/>
      <c r="J906" s="10"/>
      <c r="K906" s="3"/>
    </row>
    <row r="907" spans="1:11" x14ac:dyDescent="0.25">
      <c r="A907" s="53" t="s">
        <v>1103</v>
      </c>
      <c r="B907" s="33" t="s">
        <v>221</v>
      </c>
      <c r="C907" s="24" t="s">
        <v>1242</v>
      </c>
      <c r="D907" s="10">
        <v>8307</v>
      </c>
      <c r="E907" s="10"/>
      <c r="F907" s="60" t="s">
        <v>52</v>
      </c>
      <c r="G907" s="37" t="s">
        <v>1201</v>
      </c>
      <c r="H907" s="75">
        <v>41541</v>
      </c>
      <c r="I907" s="10"/>
      <c r="J907" s="10"/>
      <c r="K907" s="3"/>
    </row>
    <row r="908" spans="1:11" x14ac:dyDescent="0.25">
      <c r="A908" s="53" t="s">
        <v>1104</v>
      </c>
      <c r="B908" s="33" t="s">
        <v>221</v>
      </c>
      <c r="C908" s="24" t="s">
        <v>1244</v>
      </c>
      <c r="D908" s="10">
        <v>8307</v>
      </c>
      <c r="E908" s="10"/>
      <c r="F908" s="60" t="s">
        <v>52</v>
      </c>
      <c r="G908" s="37" t="s">
        <v>1201</v>
      </c>
      <c r="H908" s="75">
        <v>41541</v>
      </c>
      <c r="I908" s="10"/>
      <c r="J908" s="10"/>
      <c r="K908" s="3"/>
    </row>
    <row r="909" spans="1:11" x14ac:dyDescent="0.25">
      <c r="A909" s="53" t="s">
        <v>1105</v>
      </c>
      <c r="B909" s="33" t="s">
        <v>221</v>
      </c>
      <c r="C909" s="24" t="s">
        <v>1245</v>
      </c>
      <c r="D909" s="10">
        <v>8307</v>
      </c>
      <c r="E909" s="10"/>
      <c r="F909" s="60" t="s">
        <v>52</v>
      </c>
      <c r="G909" s="37" t="s">
        <v>1201</v>
      </c>
      <c r="H909" s="75">
        <v>41541</v>
      </c>
      <c r="I909" s="10"/>
      <c r="J909" s="10"/>
      <c r="K909" s="3"/>
    </row>
    <row r="910" spans="1:11" x14ac:dyDescent="0.25">
      <c r="A910" s="101" t="s">
        <v>1106</v>
      </c>
      <c r="B910" s="4"/>
      <c r="C910" s="117" t="s">
        <v>1274</v>
      </c>
      <c r="D910" s="37"/>
      <c r="E910" s="10"/>
      <c r="F910" s="64"/>
      <c r="G910" s="10"/>
      <c r="H910" s="16"/>
      <c r="I910" s="10"/>
      <c r="J910" s="10"/>
      <c r="K910" s="3"/>
    </row>
    <row r="911" spans="1:11" x14ac:dyDescent="0.25">
      <c r="A911" s="53" t="s">
        <v>1107</v>
      </c>
      <c r="B911" s="33" t="s">
        <v>221</v>
      </c>
      <c r="C911" s="24" t="s">
        <v>1246</v>
      </c>
      <c r="D911" s="37" t="s">
        <v>1269</v>
      </c>
      <c r="E911" s="10"/>
      <c r="F911" s="60" t="s">
        <v>51</v>
      </c>
      <c r="G911" s="37" t="s">
        <v>1181</v>
      </c>
      <c r="H911" s="75">
        <v>41543</v>
      </c>
      <c r="I911" s="10"/>
      <c r="J911" s="10"/>
      <c r="K911" s="3"/>
    </row>
    <row r="912" spans="1:11" x14ac:dyDescent="0.25">
      <c r="A912" s="53" t="s">
        <v>1108</v>
      </c>
      <c r="B912" s="33" t="s">
        <v>257</v>
      </c>
      <c r="C912" s="45" t="s">
        <v>1247</v>
      </c>
      <c r="D912" s="37" t="s">
        <v>1031</v>
      </c>
      <c r="E912" s="10"/>
      <c r="F912" s="60" t="s">
        <v>27</v>
      </c>
      <c r="G912" s="37" t="s">
        <v>1202</v>
      </c>
      <c r="H912" s="75">
        <v>41556</v>
      </c>
      <c r="I912" s="10"/>
      <c r="J912" s="10"/>
      <c r="K912" s="3"/>
    </row>
    <row r="913" spans="1:11" x14ac:dyDescent="0.25">
      <c r="A913" s="53" t="s">
        <v>1109</v>
      </c>
      <c r="B913" s="33" t="s">
        <v>221</v>
      </c>
      <c r="C913" s="45" t="s">
        <v>1248</v>
      </c>
      <c r="D913" s="37" t="s">
        <v>1031</v>
      </c>
      <c r="E913" s="10"/>
      <c r="F913" s="60" t="s">
        <v>52</v>
      </c>
      <c r="G913" s="37" t="s">
        <v>1179</v>
      </c>
      <c r="H913" s="75">
        <v>41557</v>
      </c>
      <c r="I913" s="37" t="s">
        <v>1271</v>
      </c>
      <c r="J913" s="15">
        <v>41561</v>
      </c>
      <c r="K913" s="3"/>
    </row>
    <row r="914" spans="1:11" x14ac:dyDescent="0.25">
      <c r="A914" s="53" t="s">
        <v>1110</v>
      </c>
      <c r="B914" s="33" t="s">
        <v>221</v>
      </c>
      <c r="C914" s="45" t="s">
        <v>1249</v>
      </c>
      <c r="D914" s="37" t="s">
        <v>1031</v>
      </c>
      <c r="E914" s="10"/>
      <c r="F914" s="60" t="s">
        <v>52</v>
      </c>
      <c r="G914" s="37" t="s">
        <v>1179</v>
      </c>
      <c r="H914" s="75">
        <v>41557</v>
      </c>
      <c r="I914" s="10"/>
      <c r="J914" s="10"/>
      <c r="K914" s="3"/>
    </row>
    <row r="915" spans="1:11" x14ac:dyDescent="0.25">
      <c r="A915" s="101" t="s">
        <v>1111</v>
      </c>
      <c r="B915" s="4"/>
      <c r="C915" s="116" t="s">
        <v>0</v>
      </c>
      <c r="D915" s="10"/>
      <c r="E915" s="10"/>
      <c r="F915" s="64"/>
      <c r="G915" s="10"/>
      <c r="H915" s="16"/>
      <c r="I915" s="10"/>
      <c r="J915" s="10"/>
      <c r="K915" s="3"/>
    </row>
    <row r="916" spans="1:11" x14ac:dyDescent="0.25">
      <c r="A916" s="101" t="s">
        <v>1112</v>
      </c>
      <c r="B916" s="4"/>
      <c r="C916" s="116" t="s">
        <v>0</v>
      </c>
      <c r="D916" s="10"/>
      <c r="E916" s="10"/>
      <c r="F916" s="64"/>
      <c r="G916" s="10"/>
      <c r="H916" s="16"/>
      <c r="I916" s="10"/>
      <c r="J916" s="10"/>
      <c r="K916" s="3"/>
    </row>
    <row r="917" spans="1:11" x14ac:dyDescent="0.25">
      <c r="A917" s="101" t="s">
        <v>1113</v>
      </c>
      <c r="B917" s="4"/>
      <c r="C917" s="116" t="s">
        <v>0</v>
      </c>
      <c r="D917" s="10"/>
      <c r="E917" s="10"/>
      <c r="F917" s="64"/>
      <c r="G917" s="10"/>
      <c r="H917" s="16"/>
      <c r="I917" s="10"/>
      <c r="J917" s="10"/>
      <c r="K917" s="3"/>
    </row>
    <row r="918" spans="1:11" x14ac:dyDescent="0.25">
      <c r="A918" s="53" t="s">
        <v>1114</v>
      </c>
      <c r="B918" s="33" t="s">
        <v>221</v>
      </c>
      <c r="C918" s="45" t="s">
        <v>1250</v>
      </c>
      <c r="D918" s="37" t="s">
        <v>1268</v>
      </c>
      <c r="E918" s="10"/>
      <c r="F918" s="60" t="s">
        <v>1034</v>
      </c>
      <c r="G918" s="37" t="s">
        <v>1181</v>
      </c>
      <c r="H918" s="75">
        <v>41576</v>
      </c>
      <c r="I918" s="10"/>
      <c r="J918" s="10"/>
      <c r="K918" s="3"/>
    </row>
    <row r="919" spans="1:11" x14ac:dyDescent="0.25">
      <c r="A919" s="53" t="s">
        <v>1115</v>
      </c>
      <c r="B919" s="33" t="s">
        <v>257</v>
      </c>
      <c r="C919" s="45" t="s">
        <v>1252</v>
      </c>
      <c r="D919" s="10">
        <v>8321</v>
      </c>
      <c r="E919" s="10"/>
      <c r="F919" s="60" t="s">
        <v>27</v>
      </c>
      <c r="G919" s="37" t="s">
        <v>1179</v>
      </c>
      <c r="H919" s="75">
        <v>41583</v>
      </c>
      <c r="I919" s="10"/>
      <c r="J919" s="10"/>
      <c r="K919" s="3"/>
    </row>
    <row r="920" spans="1:11" x14ac:dyDescent="0.25">
      <c r="A920" s="53" t="s">
        <v>1116</v>
      </c>
      <c r="B920" s="33" t="s">
        <v>257</v>
      </c>
      <c r="C920" s="45" t="s">
        <v>1251</v>
      </c>
      <c r="D920" s="10">
        <v>8321</v>
      </c>
      <c r="E920" s="10"/>
      <c r="F920" s="60" t="s">
        <v>27</v>
      </c>
      <c r="G920" s="37" t="s">
        <v>1179</v>
      </c>
      <c r="H920" s="75">
        <v>41583</v>
      </c>
      <c r="I920" s="10"/>
      <c r="J920" s="10"/>
      <c r="K920" s="3"/>
    </row>
    <row r="921" spans="1:11" x14ac:dyDescent="0.25">
      <c r="A921" s="53" t="s">
        <v>1117</v>
      </c>
      <c r="B921" s="33" t="s">
        <v>221</v>
      </c>
      <c r="C921" s="45" t="s">
        <v>1253</v>
      </c>
      <c r="D921" s="10">
        <v>8321</v>
      </c>
      <c r="E921" s="10"/>
      <c r="F921" s="60" t="s">
        <v>1034</v>
      </c>
      <c r="G921" s="37" t="s">
        <v>1270</v>
      </c>
      <c r="H921" s="75">
        <v>41584</v>
      </c>
      <c r="I921" s="10"/>
      <c r="J921" s="10"/>
      <c r="K921" s="3"/>
    </row>
    <row r="922" spans="1:11" x14ac:dyDescent="0.25">
      <c r="A922" s="53" t="s">
        <v>1118</v>
      </c>
      <c r="B922" s="33" t="s">
        <v>221</v>
      </c>
      <c r="C922" s="45" t="s">
        <v>1254</v>
      </c>
      <c r="D922" s="10">
        <v>8321</v>
      </c>
      <c r="E922" s="10"/>
      <c r="F922" s="60" t="s">
        <v>1034</v>
      </c>
      <c r="G922" s="37" t="s">
        <v>1270</v>
      </c>
      <c r="H922" s="75">
        <v>41584</v>
      </c>
      <c r="I922" s="10"/>
      <c r="J922" s="10"/>
      <c r="K922" s="3"/>
    </row>
    <row r="923" spans="1:11" x14ac:dyDescent="0.25">
      <c r="A923" s="53" t="s">
        <v>1119</v>
      </c>
      <c r="B923" s="33" t="s">
        <v>221</v>
      </c>
      <c r="C923" s="45" t="s">
        <v>1255</v>
      </c>
      <c r="D923" s="10">
        <v>8321</v>
      </c>
      <c r="E923" s="10"/>
      <c r="F923" s="60" t="s">
        <v>1034</v>
      </c>
      <c r="G923" s="37" t="s">
        <v>1270</v>
      </c>
      <c r="H923" s="75">
        <v>41584</v>
      </c>
      <c r="I923" s="10"/>
      <c r="J923" s="10"/>
      <c r="K923" s="3"/>
    </row>
    <row r="924" spans="1:11" x14ac:dyDescent="0.25">
      <c r="A924" s="53" t="s">
        <v>1120</v>
      </c>
      <c r="B924" s="33" t="s">
        <v>221</v>
      </c>
      <c r="C924" s="45" t="s">
        <v>1256</v>
      </c>
      <c r="D924" s="10">
        <v>8321</v>
      </c>
      <c r="E924" s="10"/>
      <c r="F924" s="60" t="s">
        <v>1034</v>
      </c>
      <c r="G924" s="37" t="s">
        <v>1270</v>
      </c>
      <c r="H924" s="75">
        <v>41584</v>
      </c>
      <c r="I924" s="10"/>
      <c r="J924" s="10"/>
      <c r="K924" s="3"/>
    </row>
    <row r="925" spans="1:11" x14ac:dyDescent="0.25">
      <c r="A925" s="53" t="s">
        <v>1121</v>
      </c>
      <c r="B925" s="33" t="s">
        <v>221</v>
      </c>
      <c r="C925" s="45" t="s">
        <v>1257</v>
      </c>
      <c r="D925" s="10">
        <v>8321</v>
      </c>
      <c r="E925" s="10"/>
      <c r="F925" s="60" t="s">
        <v>1034</v>
      </c>
      <c r="G925" s="37" t="s">
        <v>1270</v>
      </c>
      <c r="H925" s="75">
        <v>41584</v>
      </c>
      <c r="I925" s="10"/>
      <c r="J925" s="10"/>
      <c r="K925" s="3"/>
    </row>
    <row r="926" spans="1:11" x14ac:dyDescent="0.25">
      <c r="A926" s="53" t="s">
        <v>1122</v>
      </c>
      <c r="B926" s="33" t="s">
        <v>221</v>
      </c>
      <c r="C926" s="45" t="s">
        <v>1258</v>
      </c>
      <c r="D926" s="10">
        <v>8321</v>
      </c>
      <c r="E926" s="10"/>
      <c r="F926" s="60" t="s">
        <v>1034</v>
      </c>
      <c r="G926" s="37" t="s">
        <v>1270</v>
      </c>
      <c r="H926" s="75">
        <v>41584</v>
      </c>
      <c r="I926" s="10"/>
      <c r="J926" s="10"/>
      <c r="K926" s="3"/>
    </row>
    <row r="927" spans="1:11" x14ac:dyDescent="0.25">
      <c r="A927" s="53" t="s">
        <v>1123</v>
      </c>
      <c r="B927" s="33" t="s">
        <v>221</v>
      </c>
      <c r="C927" s="45" t="s">
        <v>1259</v>
      </c>
      <c r="D927" s="10">
        <v>8321</v>
      </c>
      <c r="E927" s="10"/>
      <c r="F927" s="60" t="s">
        <v>1034</v>
      </c>
      <c r="G927" s="37" t="s">
        <v>1270</v>
      </c>
      <c r="H927" s="75">
        <v>41584</v>
      </c>
      <c r="I927" s="10"/>
      <c r="J927" s="10"/>
      <c r="K927" s="3"/>
    </row>
    <row r="928" spans="1:11" x14ac:dyDescent="0.25">
      <c r="A928" s="53" t="s">
        <v>1124</v>
      </c>
      <c r="B928" s="33" t="s">
        <v>221</v>
      </c>
      <c r="C928" s="45" t="s">
        <v>1260</v>
      </c>
      <c r="D928" s="111" t="s">
        <v>1402</v>
      </c>
      <c r="E928" s="10"/>
      <c r="F928" s="60" t="s">
        <v>1034</v>
      </c>
      <c r="G928" s="37" t="s">
        <v>1270</v>
      </c>
      <c r="H928" s="75">
        <v>41584</v>
      </c>
      <c r="I928" s="10"/>
      <c r="J928" s="10"/>
      <c r="K928" s="3"/>
    </row>
    <row r="929" spans="1:11" x14ac:dyDescent="0.25">
      <c r="A929" s="53" t="s">
        <v>1125</v>
      </c>
      <c r="B929" s="33" t="s">
        <v>221</v>
      </c>
      <c r="C929" s="45" t="s">
        <v>1261</v>
      </c>
      <c r="D929" s="10">
        <v>8321</v>
      </c>
      <c r="E929" s="10"/>
      <c r="F929" s="60" t="s">
        <v>1034</v>
      </c>
      <c r="G929" s="37" t="s">
        <v>1270</v>
      </c>
      <c r="H929" s="75">
        <v>41584</v>
      </c>
      <c r="I929" s="10"/>
      <c r="J929" s="10"/>
      <c r="K929" s="3"/>
    </row>
    <row r="930" spans="1:11" x14ac:dyDescent="0.25">
      <c r="A930" s="53" t="s">
        <v>1126</v>
      </c>
      <c r="B930" s="33" t="s">
        <v>221</v>
      </c>
      <c r="C930" s="45" t="s">
        <v>1262</v>
      </c>
      <c r="D930" s="10">
        <v>8321</v>
      </c>
      <c r="E930" s="10"/>
      <c r="F930" s="60" t="s">
        <v>1034</v>
      </c>
      <c r="G930" s="37" t="s">
        <v>1270</v>
      </c>
      <c r="H930" s="75">
        <v>41584</v>
      </c>
      <c r="I930" s="10"/>
      <c r="J930" s="10"/>
      <c r="K930" s="3"/>
    </row>
    <row r="931" spans="1:11" x14ac:dyDescent="0.25">
      <c r="A931" s="53" t="s">
        <v>1127</v>
      </c>
      <c r="B931" s="33" t="s">
        <v>221</v>
      </c>
      <c r="C931" s="45" t="s">
        <v>1263</v>
      </c>
      <c r="D931" s="10">
        <v>8311</v>
      </c>
      <c r="E931" s="10"/>
      <c r="F931" s="60" t="s">
        <v>52</v>
      </c>
      <c r="G931" s="37" t="s">
        <v>1181</v>
      </c>
      <c r="H931" s="75">
        <v>41584</v>
      </c>
      <c r="I931" s="37" t="s">
        <v>1181</v>
      </c>
      <c r="J931" s="15">
        <v>41585</v>
      </c>
      <c r="K931" s="3"/>
    </row>
    <row r="932" spans="1:11" x14ac:dyDescent="0.25">
      <c r="A932" s="53" t="s">
        <v>1128</v>
      </c>
      <c r="B932" s="33" t="s">
        <v>221</v>
      </c>
      <c r="C932" s="45" t="s">
        <v>1264</v>
      </c>
      <c r="D932" s="10">
        <v>8311</v>
      </c>
      <c r="E932" s="10"/>
      <c r="F932" s="60" t="s">
        <v>52</v>
      </c>
      <c r="G932" s="37" t="s">
        <v>1181</v>
      </c>
      <c r="H932" s="75">
        <v>41584</v>
      </c>
      <c r="I932" s="37" t="s">
        <v>1181</v>
      </c>
      <c r="J932" s="15">
        <v>41585</v>
      </c>
      <c r="K932" s="3"/>
    </row>
    <row r="933" spans="1:11" x14ac:dyDescent="0.25">
      <c r="A933" s="53" t="s">
        <v>1129</v>
      </c>
      <c r="B933" s="33" t="s">
        <v>221</v>
      </c>
      <c r="C933" s="45" t="s">
        <v>1265</v>
      </c>
      <c r="D933" s="37" t="s">
        <v>1035</v>
      </c>
      <c r="E933" s="10"/>
      <c r="F933" s="60" t="s">
        <v>52</v>
      </c>
      <c r="G933" s="37" t="s">
        <v>1201</v>
      </c>
      <c r="H933" s="16"/>
      <c r="I933" s="37" t="s">
        <v>1181</v>
      </c>
      <c r="J933" s="15">
        <v>41627</v>
      </c>
      <c r="K933" s="104" t="s">
        <v>1273</v>
      </c>
    </row>
    <row r="934" spans="1:11" x14ac:dyDescent="0.25">
      <c r="A934" s="53" t="s">
        <v>1130</v>
      </c>
      <c r="B934" s="33" t="s">
        <v>221</v>
      </c>
      <c r="C934" s="45" t="s">
        <v>1266</v>
      </c>
      <c r="D934" s="37" t="s">
        <v>1035</v>
      </c>
      <c r="E934" s="10"/>
      <c r="F934" s="60" t="s">
        <v>52</v>
      </c>
      <c r="G934" s="37" t="s">
        <v>1201</v>
      </c>
      <c r="H934" s="16"/>
      <c r="I934" s="37" t="s">
        <v>1181</v>
      </c>
      <c r="J934" s="15">
        <v>41627</v>
      </c>
      <c r="K934" s="104" t="s">
        <v>1273</v>
      </c>
    </row>
    <row r="935" spans="1:11" x14ac:dyDescent="0.25">
      <c r="A935" s="53" t="s">
        <v>1131</v>
      </c>
      <c r="B935" s="33" t="s">
        <v>221</v>
      </c>
      <c r="C935" s="45" t="s">
        <v>1339</v>
      </c>
      <c r="D935" s="37" t="s">
        <v>1035</v>
      </c>
      <c r="E935" s="10"/>
      <c r="F935" s="60" t="s">
        <v>52</v>
      </c>
      <c r="G935" s="37" t="s">
        <v>1201</v>
      </c>
      <c r="H935" s="16"/>
      <c r="I935" s="37" t="s">
        <v>1181</v>
      </c>
      <c r="J935" s="15">
        <v>41627</v>
      </c>
      <c r="K935" s="104" t="s">
        <v>1273</v>
      </c>
    </row>
    <row r="936" spans="1:11" x14ac:dyDescent="0.25">
      <c r="A936" s="53" t="s">
        <v>1132</v>
      </c>
      <c r="B936" s="33" t="s">
        <v>221</v>
      </c>
      <c r="C936" s="45" t="s">
        <v>1275</v>
      </c>
      <c r="D936" s="10">
        <v>8283</v>
      </c>
      <c r="E936" s="10"/>
      <c r="F936" s="60" t="s">
        <v>52</v>
      </c>
      <c r="G936" s="37" t="s">
        <v>1179</v>
      </c>
      <c r="H936" s="75">
        <v>41604</v>
      </c>
      <c r="I936" s="10"/>
      <c r="J936" s="10"/>
      <c r="K936" s="3"/>
    </row>
    <row r="937" spans="1:11" x14ac:dyDescent="0.25">
      <c r="A937" s="53" t="s">
        <v>1133</v>
      </c>
      <c r="B937" s="33" t="s">
        <v>221</v>
      </c>
      <c r="C937" s="45" t="s">
        <v>1276</v>
      </c>
      <c r="D937" s="10">
        <v>8283</v>
      </c>
      <c r="E937" s="10"/>
      <c r="F937" s="60" t="s">
        <v>623</v>
      </c>
      <c r="G937" s="59" t="s">
        <v>1267</v>
      </c>
      <c r="H937" s="102">
        <v>41518</v>
      </c>
      <c r="I937" s="10"/>
      <c r="J937" s="10"/>
      <c r="K937" s="3"/>
    </row>
    <row r="938" spans="1:11" x14ac:dyDescent="0.25">
      <c r="A938" s="53" t="s">
        <v>1134</v>
      </c>
      <c r="B938" s="33" t="s">
        <v>221</v>
      </c>
      <c r="C938" s="45" t="s">
        <v>1277</v>
      </c>
      <c r="D938" s="10">
        <v>8283</v>
      </c>
      <c r="E938" s="10"/>
      <c r="F938" s="60" t="s">
        <v>623</v>
      </c>
      <c r="G938" s="59" t="s">
        <v>1267</v>
      </c>
      <c r="H938" s="102">
        <v>41518</v>
      </c>
      <c r="I938" s="10"/>
      <c r="J938" s="10"/>
      <c r="K938" s="3"/>
    </row>
    <row r="939" spans="1:11" x14ac:dyDescent="0.25">
      <c r="A939" s="53" t="s">
        <v>1135</v>
      </c>
      <c r="B939" s="33" t="s">
        <v>221</v>
      </c>
      <c r="C939" s="45" t="s">
        <v>1280</v>
      </c>
      <c r="D939" s="10">
        <v>8283</v>
      </c>
      <c r="E939" s="10"/>
      <c r="F939" s="60" t="s">
        <v>623</v>
      </c>
      <c r="G939" s="59" t="s">
        <v>1267</v>
      </c>
      <c r="H939" s="102">
        <v>41518</v>
      </c>
      <c r="I939" s="10"/>
      <c r="J939" s="10"/>
      <c r="K939" s="3"/>
    </row>
    <row r="940" spans="1:11" x14ac:dyDescent="0.25">
      <c r="A940" s="53" t="s">
        <v>1136</v>
      </c>
      <c r="B940" s="33" t="s">
        <v>221</v>
      </c>
      <c r="C940" s="45" t="s">
        <v>1279</v>
      </c>
      <c r="D940" s="10">
        <v>8283</v>
      </c>
      <c r="E940" s="10"/>
      <c r="F940" s="60" t="s">
        <v>623</v>
      </c>
      <c r="G940" s="59" t="s">
        <v>1267</v>
      </c>
      <c r="H940" s="102">
        <v>41518</v>
      </c>
      <c r="I940" s="10"/>
      <c r="J940" s="10"/>
      <c r="K940" s="3"/>
    </row>
    <row r="941" spans="1:11" x14ac:dyDescent="0.25">
      <c r="A941" s="53" t="s">
        <v>1137</v>
      </c>
      <c r="B941" s="33" t="s">
        <v>221</v>
      </c>
      <c r="C941" s="45" t="s">
        <v>1278</v>
      </c>
      <c r="D941" s="10">
        <v>8283</v>
      </c>
      <c r="E941" s="10"/>
      <c r="F941" s="60" t="s">
        <v>623</v>
      </c>
      <c r="G941" s="59" t="s">
        <v>1267</v>
      </c>
      <c r="H941" s="102">
        <v>41518</v>
      </c>
      <c r="I941" s="10"/>
      <c r="J941" s="10"/>
      <c r="K941" s="3"/>
    </row>
    <row r="942" spans="1:11" x14ac:dyDescent="0.25">
      <c r="A942" s="53" t="s">
        <v>1138</v>
      </c>
      <c r="B942" s="33" t="s">
        <v>221</v>
      </c>
      <c r="C942" s="45" t="s">
        <v>1281</v>
      </c>
      <c r="D942" s="10">
        <v>8283</v>
      </c>
      <c r="E942" s="10"/>
      <c r="F942" s="60" t="s">
        <v>623</v>
      </c>
      <c r="G942" s="59" t="s">
        <v>1267</v>
      </c>
      <c r="H942" s="102">
        <v>41518</v>
      </c>
      <c r="I942" s="10"/>
      <c r="J942" s="10"/>
      <c r="K942" s="3"/>
    </row>
    <row r="943" spans="1:11" x14ac:dyDescent="0.25">
      <c r="A943" s="53" t="s">
        <v>1139</v>
      </c>
      <c r="B943" s="33" t="s">
        <v>221</v>
      </c>
      <c r="C943" s="45" t="s">
        <v>1282</v>
      </c>
      <c r="D943" s="10">
        <v>8283</v>
      </c>
      <c r="E943" s="10"/>
      <c r="F943" s="60" t="s">
        <v>623</v>
      </c>
      <c r="G943" s="59" t="s">
        <v>1267</v>
      </c>
      <c r="H943" s="102">
        <v>41518</v>
      </c>
      <c r="I943" s="10"/>
      <c r="J943" s="10"/>
      <c r="K943" s="3"/>
    </row>
    <row r="944" spans="1:11" x14ac:dyDescent="0.25">
      <c r="A944" s="53" t="s">
        <v>1140</v>
      </c>
      <c r="B944" s="33" t="s">
        <v>221</v>
      </c>
      <c r="C944" s="45" t="s">
        <v>1283</v>
      </c>
      <c r="D944" s="10">
        <v>8283</v>
      </c>
      <c r="E944" s="10"/>
      <c r="F944" s="60" t="s">
        <v>623</v>
      </c>
      <c r="G944" s="59" t="s">
        <v>1267</v>
      </c>
      <c r="H944" s="102">
        <v>41518</v>
      </c>
      <c r="I944" s="10"/>
      <c r="J944" s="10"/>
      <c r="K944" s="3"/>
    </row>
    <row r="945" spans="1:11" x14ac:dyDescent="0.25">
      <c r="A945" s="53" t="s">
        <v>1141</v>
      </c>
      <c r="B945" s="33" t="s">
        <v>221</v>
      </c>
      <c r="C945" s="45" t="s">
        <v>1284</v>
      </c>
      <c r="D945" s="10">
        <v>8283</v>
      </c>
      <c r="E945" s="10"/>
      <c r="F945" s="60" t="s">
        <v>623</v>
      </c>
      <c r="G945" s="59" t="s">
        <v>1267</v>
      </c>
      <c r="H945" s="102">
        <v>41518</v>
      </c>
      <c r="I945" s="10"/>
      <c r="J945" s="10"/>
      <c r="K945" s="3"/>
    </row>
    <row r="946" spans="1:11" x14ac:dyDescent="0.25">
      <c r="A946" s="53" t="s">
        <v>1142</v>
      </c>
      <c r="B946" s="33" t="s">
        <v>221</v>
      </c>
      <c r="C946" s="45" t="s">
        <v>1285</v>
      </c>
      <c r="D946" s="10">
        <v>8283</v>
      </c>
      <c r="E946" s="10"/>
      <c r="F946" s="60" t="s">
        <v>623</v>
      </c>
      <c r="G946" s="59" t="s">
        <v>1267</v>
      </c>
      <c r="H946" s="102">
        <v>41518</v>
      </c>
      <c r="I946" s="10"/>
      <c r="J946" s="10"/>
      <c r="K946" s="3"/>
    </row>
    <row r="947" spans="1:11" x14ac:dyDescent="0.25">
      <c r="A947" s="101" t="s">
        <v>1143</v>
      </c>
      <c r="B947" s="33"/>
      <c r="C947" s="56" t="s">
        <v>1274</v>
      </c>
      <c r="D947" s="37"/>
      <c r="E947" s="10"/>
      <c r="F947" s="60"/>
      <c r="G947" s="37"/>
      <c r="H947" s="75"/>
      <c r="I947" s="37"/>
      <c r="J947" s="75"/>
      <c r="K947" s="3"/>
    </row>
    <row r="948" spans="1:11" ht="25" x14ac:dyDescent="0.25">
      <c r="A948" s="53" t="s">
        <v>1144</v>
      </c>
      <c r="B948" s="37" t="s">
        <v>257</v>
      </c>
      <c r="C948" s="80" t="s">
        <v>1289</v>
      </c>
      <c r="D948" s="37" t="s">
        <v>1037</v>
      </c>
      <c r="E948" s="10"/>
      <c r="F948" s="60" t="s">
        <v>977</v>
      </c>
      <c r="G948" s="37" t="s">
        <v>1288</v>
      </c>
      <c r="H948" s="75">
        <v>41617</v>
      </c>
      <c r="I948" s="37" t="s">
        <v>1288</v>
      </c>
      <c r="J948" s="75">
        <v>41617</v>
      </c>
      <c r="K948" s="3"/>
    </row>
    <row r="949" spans="1:11" ht="25" x14ac:dyDescent="0.25">
      <c r="A949" s="53" t="s">
        <v>1145</v>
      </c>
      <c r="B949" s="37" t="s">
        <v>257</v>
      </c>
      <c r="C949" s="80" t="s">
        <v>1286</v>
      </c>
      <c r="D949" s="10">
        <v>8283</v>
      </c>
      <c r="E949" s="10"/>
      <c r="F949" s="60" t="s">
        <v>168</v>
      </c>
      <c r="G949" s="59" t="s">
        <v>1267</v>
      </c>
      <c r="H949" s="59" t="s">
        <v>1267</v>
      </c>
      <c r="I949" s="10"/>
      <c r="J949" s="10"/>
      <c r="K949" s="3"/>
    </row>
    <row r="950" spans="1:11" ht="25" x14ac:dyDescent="0.25">
      <c r="A950" s="53" t="s">
        <v>1146</v>
      </c>
      <c r="B950" s="37" t="s">
        <v>257</v>
      </c>
      <c r="C950" s="80" t="s">
        <v>1287</v>
      </c>
      <c r="D950" s="10">
        <v>8283</v>
      </c>
      <c r="E950" s="10"/>
      <c r="F950" s="60" t="s">
        <v>168</v>
      </c>
      <c r="G950" s="59" t="s">
        <v>1267</v>
      </c>
      <c r="H950" s="59" t="s">
        <v>1267</v>
      </c>
      <c r="I950" s="10"/>
      <c r="J950" s="10"/>
      <c r="K950" s="3"/>
    </row>
    <row r="951" spans="1:11" x14ac:dyDescent="0.25">
      <c r="A951" s="101" t="s">
        <v>1147</v>
      </c>
      <c r="B951" s="4"/>
      <c r="C951" s="56" t="s">
        <v>1274</v>
      </c>
      <c r="D951" s="10"/>
      <c r="E951" s="10"/>
      <c r="F951" s="60"/>
      <c r="G951" s="10"/>
      <c r="H951" s="16"/>
      <c r="I951" s="10"/>
      <c r="J951" s="10"/>
      <c r="K951" s="3"/>
    </row>
    <row r="952" spans="1:11" x14ac:dyDescent="0.25">
      <c r="A952" s="53" t="s">
        <v>1148</v>
      </c>
      <c r="B952" s="37" t="s">
        <v>257</v>
      </c>
      <c r="C952" s="59" t="s">
        <v>1267</v>
      </c>
      <c r="D952" s="37" t="s">
        <v>1035</v>
      </c>
      <c r="E952" s="10"/>
      <c r="F952" s="60" t="s">
        <v>827</v>
      </c>
      <c r="G952" s="59" t="s">
        <v>1267</v>
      </c>
      <c r="H952" s="75">
        <v>41620</v>
      </c>
      <c r="I952" s="10"/>
      <c r="J952" s="10"/>
      <c r="K952" s="43" t="s">
        <v>1290</v>
      </c>
    </row>
    <row r="953" spans="1:11" x14ac:dyDescent="0.25">
      <c r="A953" s="53" t="s">
        <v>1149</v>
      </c>
      <c r="B953" s="33" t="s">
        <v>221</v>
      </c>
      <c r="C953" s="45" t="s">
        <v>1291</v>
      </c>
      <c r="D953" s="10">
        <v>8318</v>
      </c>
      <c r="E953" s="10"/>
      <c r="F953" s="60" t="s">
        <v>623</v>
      </c>
      <c r="G953" s="37" t="s">
        <v>1270</v>
      </c>
      <c r="H953" s="75">
        <v>41621</v>
      </c>
      <c r="I953" s="10"/>
      <c r="J953" s="10"/>
      <c r="K953" s="3"/>
    </row>
    <row r="954" spans="1:11" x14ac:dyDescent="0.25">
      <c r="A954" s="53" t="s">
        <v>1150</v>
      </c>
      <c r="B954" s="33" t="s">
        <v>221</v>
      </c>
      <c r="C954" s="45" t="s">
        <v>1292</v>
      </c>
      <c r="D954" s="10">
        <v>8318</v>
      </c>
      <c r="E954" s="10"/>
      <c r="F954" s="60" t="s">
        <v>623</v>
      </c>
      <c r="G954" s="37" t="s">
        <v>1270</v>
      </c>
      <c r="H954" s="75">
        <v>41621</v>
      </c>
      <c r="I954" s="10"/>
      <c r="J954" s="10"/>
      <c r="K954" s="3"/>
    </row>
    <row r="955" spans="1:11" x14ac:dyDescent="0.25">
      <c r="A955" s="53" t="s">
        <v>1151</v>
      </c>
      <c r="B955" s="33" t="s">
        <v>221</v>
      </c>
      <c r="C955" s="45" t="s">
        <v>1293</v>
      </c>
      <c r="D955" s="10">
        <v>8318</v>
      </c>
      <c r="E955" s="10"/>
      <c r="F955" s="60" t="s">
        <v>623</v>
      </c>
      <c r="G955" s="37" t="s">
        <v>1270</v>
      </c>
      <c r="H955" s="75">
        <v>41621</v>
      </c>
      <c r="I955" s="37"/>
      <c r="J955" s="10"/>
      <c r="K955" s="3"/>
    </row>
    <row r="956" spans="1:11" ht="25" x14ac:dyDescent="0.25">
      <c r="A956" s="53" t="s">
        <v>1152</v>
      </c>
      <c r="B956" s="37" t="s">
        <v>257</v>
      </c>
      <c r="C956" s="80" t="s">
        <v>1294</v>
      </c>
      <c r="D956" s="37" t="s">
        <v>1036</v>
      </c>
      <c r="E956" s="10"/>
      <c r="F956" s="60" t="s">
        <v>977</v>
      </c>
      <c r="G956" s="37" t="s">
        <v>1288</v>
      </c>
      <c r="H956" s="75">
        <v>41625</v>
      </c>
      <c r="I956" s="37" t="s">
        <v>1288</v>
      </c>
      <c r="J956" s="15">
        <v>41625</v>
      </c>
      <c r="K956" s="3"/>
    </row>
    <row r="957" spans="1:11" x14ac:dyDescent="0.25">
      <c r="A957" s="53" t="s">
        <v>1153</v>
      </c>
      <c r="B957" s="33" t="s">
        <v>221</v>
      </c>
      <c r="C957" s="45" t="s">
        <v>1296</v>
      </c>
      <c r="D957" s="10">
        <v>8299</v>
      </c>
      <c r="E957" s="10"/>
      <c r="F957" s="60" t="s">
        <v>52</v>
      </c>
      <c r="G957" s="37" t="s">
        <v>1288</v>
      </c>
      <c r="H957" s="75">
        <v>41625</v>
      </c>
      <c r="I957" s="37" t="s">
        <v>1301</v>
      </c>
      <c r="J957" s="15">
        <v>41650</v>
      </c>
      <c r="K957" s="3"/>
    </row>
    <row r="958" spans="1:11" x14ac:dyDescent="0.25">
      <c r="A958" s="53" t="s">
        <v>1154</v>
      </c>
      <c r="B958" s="33" t="s">
        <v>221</v>
      </c>
      <c r="C958" s="45" t="s">
        <v>1295</v>
      </c>
      <c r="D958" s="10">
        <v>8299</v>
      </c>
      <c r="E958" s="10"/>
      <c r="F958" s="60" t="s">
        <v>51</v>
      </c>
      <c r="G958" s="37" t="s">
        <v>1288</v>
      </c>
      <c r="H958" s="75">
        <v>41643</v>
      </c>
      <c r="I958" s="37" t="s">
        <v>1301</v>
      </c>
      <c r="J958" s="15">
        <v>41650</v>
      </c>
      <c r="K958" s="3"/>
    </row>
    <row r="959" spans="1:11" x14ac:dyDescent="0.25">
      <c r="A959" s="53" t="s">
        <v>1155</v>
      </c>
      <c r="B959" s="33" t="s">
        <v>221</v>
      </c>
      <c r="C959" s="45" t="s">
        <v>1297</v>
      </c>
      <c r="D959" s="10">
        <v>8299</v>
      </c>
      <c r="E959" s="10"/>
      <c r="F959" s="60" t="s">
        <v>51</v>
      </c>
      <c r="G959" s="37" t="s">
        <v>1288</v>
      </c>
      <c r="H959" s="75">
        <v>41643</v>
      </c>
      <c r="I959" s="37" t="s">
        <v>1301</v>
      </c>
      <c r="J959" s="15">
        <v>41650</v>
      </c>
      <c r="K959" s="3"/>
    </row>
    <row r="960" spans="1:11" x14ac:dyDescent="0.25">
      <c r="A960" s="53" t="s">
        <v>1156</v>
      </c>
      <c r="B960" s="33" t="s">
        <v>221</v>
      </c>
      <c r="C960" s="45" t="s">
        <v>1298</v>
      </c>
      <c r="D960" s="10">
        <v>8329</v>
      </c>
      <c r="E960" s="10"/>
      <c r="F960" s="60" t="s">
        <v>52</v>
      </c>
      <c r="G960" s="37" t="s">
        <v>1288</v>
      </c>
      <c r="H960" s="75">
        <v>41643</v>
      </c>
      <c r="I960" s="37" t="s">
        <v>1288</v>
      </c>
      <c r="J960" s="15">
        <v>41652</v>
      </c>
      <c r="K960" s="3"/>
    </row>
    <row r="961" spans="1:11" x14ac:dyDescent="0.25">
      <c r="A961" s="53" t="s">
        <v>1157</v>
      </c>
      <c r="B961" s="33" t="s">
        <v>221</v>
      </c>
      <c r="C961" s="45" t="s">
        <v>1299</v>
      </c>
      <c r="D961" s="10">
        <v>8329</v>
      </c>
      <c r="E961" s="10"/>
      <c r="F961" s="60" t="s">
        <v>52</v>
      </c>
      <c r="G961" s="37" t="s">
        <v>1288</v>
      </c>
      <c r="H961" s="75">
        <v>41643</v>
      </c>
      <c r="I961" s="37" t="s">
        <v>1288</v>
      </c>
      <c r="J961" s="15">
        <v>41652</v>
      </c>
      <c r="K961" s="3"/>
    </row>
    <row r="962" spans="1:11" x14ac:dyDescent="0.25">
      <c r="A962" s="53" t="s">
        <v>1158</v>
      </c>
      <c r="B962" s="33" t="s">
        <v>221</v>
      </c>
      <c r="C962" s="45" t="s">
        <v>1300</v>
      </c>
      <c r="D962" s="10">
        <v>8290</v>
      </c>
      <c r="E962" s="10"/>
      <c r="F962" s="60" t="s">
        <v>164</v>
      </c>
      <c r="G962" s="37" t="s">
        <v>1288</v>
      </c>
      <c r="H962" s="75">
        <v>41655</v>
      </c>
      <c r="I962" s="10"/>
      <c r="J962" s="15"/>
      <c r="K962" s="3"/>
    </row>
    <row r="963" spans="1:11" x14ac:dyDescent="0.25">
      <c r="A963" s="53" t="s">
        <v>1159</v>
      </c>
      <c r="B963" s="33" t="s">
        <v>221</v>
      </c>
      <c r="C963" s="24" t="s">
        <v>1302</v>
      </c>
      <c r="D963" s="10">
        <v>8290</v>
      </c>
      <c r="E963" s="10"/>
      <c r="F963" s="64" t="s">
        <v>1306</v>
      </c>
      <c r="G963" s="10" t="s">
        <v>1288</v>
      </c>
      <c r="H963" s="75">
        <v>41655</v>
      </c>
      <c r="I963" s="10"/>
      <c r="J963" s="10"/>
      <c r="K963" s="3"/>
    </row>
    <row r="964" spans="1:11" x14ac:dyDescent="0.25">
      <c r="A964" s="53" t="s">
        <v>1160</v>
      </c>
      <c r="B964" s="33" t="s">
        <v>221</v>
      </c>
      <c r="C964" s="24" t="s">
        <v>1303</v>
      </c>
      <c r="D964" s="10">
        <v>8290</v>
      </c>
      <c r="E964" s="10"/>
      <c r="F964" s="64" t="s">
        <v>1306</v>
      </c>
      <c r="G964" s="10" t="s">
        <v>1288</v>
      </c>
      <c r="H964" s="75">
        <v>41655</v>
      </c>
      <c r="I964" s="10"/>
      <c r="J964" s="10"/>
      <c r="K964" s="3"/>
    </row>
    <row r="965" spans="1:11" x14ac:dyDescent="0.25">
      <c r="A965" s="53" t="s">
        <v>1161</v>
      </c>
      <c r="B965" s="33" t="s">
        <v>221</v>
      </c>
      <c r="C965" s="24" t="s">
        <v>1304</v>
      </c>
      <c r="D965" s="10">
        <v>8334</v>
      </c>
      <c r="E965" s="10"/>
      <c r="F965" s="64" t="s">
        <v>623</v>
      </c>
      <c r="G965" s="10" t="s">
        <v>1179</v>
      </c>
      <c r="H965" s="75">
        <v>41684</v>
      </c>
      <c r="I965" s="10"/>
      <c r="J965" s="10"/>
      <c r="K965" s="3"/>
    </row>
    <row r="966" spans="1:11" x14ac:dyDescent="0.25">
      <c r="A966" s="53" t="s">
        <v>1162</v>
      </c>
      <c r="B966" s="33" t="s">
        <v>221</v>
      </c>
      <c r="C966" s="24" t="s">
        <v>1305</v>
      </c>
      <c r="D966" s="10">
        <v>8334</v>
      </c>
      <c r="E966" s="10"/>
      <c r="F966" s="64" t="s">
        <v>623</v>
      </c>
      <c r="G966" s="10" t="s">
        <v>1179</v>
      </c>
      <c r="H966" s="75">
        <v>41684</v>
      </c>
      <c r="I966" s="10"/>
      <c r="J966" s="10"/>
      <c r="K966" s="3"/>
    </row>
    <row r="967" spans="1:11" x14ac:dyDescent="0.25">
      <c r="A967" s="53" t="s">
        <v>1163</v>
      </c>
      <c r="B967" s="33" t="s">
        <v>221</v>
      </c>
      <c r="C967" s="24" t="s">
        <v>1307</v>
      </c>
      <c r="D967" s="10">
        <v>8002</v>
      </c>
      <c r="E967" s="10"/>
      <c r="F967" s="64" t="s">
        <v>623</v>
      </c>
      <c r="G967" s="10" t="s">
        <v>1288</v>
      </c>
      <c r="H967" s="75">
        <v>41673</v>
      </c>
      <c r="I967" s="10" t="s">
        <v>1288</v>
      </c>
      <c r="J967" s="15">
        <v>41687</v>
      </c>
      <c r="K967" s="3"/>
    </row>
    <row r="968" spans="1:11" x14ac:dyDescent="0.25">
      <c r="A968" s="53" t="s">
        <v>1164</v>
      </c>
      <c r="B968" s="33" t="s">
        <v>221</v>
      </c>
      <c r="C968" s="24" t="s">
        <v>1308</v>
      </c>
      <c r="D968" s="10">
        <v>8349</v>
      </c>
      <c r="E968" s="10"/>
      <c r="F968" s="64" t="s">
        <v>52</v>
      </c>
      <c r="G968" s="10" t="s">
        <v>1271</v>
      </c>
      <c r="H968" s="59" t="s">
        <v>1267</v>
      </c>
      <c r="I968" s="10" t="s">
        <v>1181</v>
      </c>
      <c r="J968" s="15">
        <v>41688</v>
      </c>
      <c r="K968" s="3"/>
    </row>
    <row r="969" spans="1:11" x14ac:dyDescent="0.25">
      <c r="A969" s="53" t="s">
        <v>1165</v>
      </c>
      <c r="B969" s="4" t="s">
        <v>257</v>
      </c>
      <c r="C969" s="24" t="s">
        <v>1309</v>
      </c>
      <c r="D969" s="10">
        <v>8349</v>
      </c>
      <c r="E969" s="10"/>
      <c r="F969" s="64" t="s">
        <v>27</v>
      </c>
      <c r="G969" s="10" t="s">
        <v>1271</v>
      </c>
      <c r="H969" s="59" t="s">
        <v>1267</v>
      </c>
      <c r="I969" s="10" t="s">
        <v>1181</v>
      </c>
      <c r="J969" s="15">
        <v>41688</v>
      </c>
      <c r="K969" s="3"/>
    </row>
    <row r="970" spans="1:11" x14ac:dyDescent="0.25">
      <c r="A970" s="53" t="s">
        <v>1166</v>
      </c>
      <c r="B970" s="4" t="s">
        <v>257</v>
      </c>
      <c r="C970" s="24" t="s">
        <v>1310</v>
      </c>
      <c r="D970" s="13">
        <v>8408</v>
      </c>
      <c r="E970" s="10"/>
      <c r="F970" s="64" t="s">
        <v>27</v>
      </c>
      <c r="G970" s="10" t="s">
        <v>1271</v>
      </c>
      <c r="H970" s="59" t="s">
        <v>1267</v>
      </c>
      <c r="I970" s="10" t="s">
        <v>1368</v>
      </c>
      <c r="J970" s="15">
        <v>41845</v>
      </c>
      <c r="K970" s="3"/>
    </row>
    <row r="971" spans="1:11" x14ac:dyDescent="0.25">
      <c r="A971" s="53" t="s">
        <v>1167</v>
      </c>
      <c r="B971" s="33" t="s">
        <v>221</v>
      </c>
      <c r="C971" s="24" t="s">
        <v>1311</v>
      </c>
      <c r="D971" s="10">
        <v>8350</v>
      </c>
      <c r="E971" s="10"/>
      <c r="F971" s="64" t="s">
        <v>52</v>
      </c>
      <c r="G971" s="10" t="s">
        <v>1271</v>
      </c>
      <c r="H971" s="59" t="s">
        <v>1267</v>
      </c>
      <c r="I971" s="10" t="s">
        <v>1181</v>
      </c>
      <c r="J971" s="15">
        <v>41689</v>
      </c>
      <c r="K971" s="3"/>
    </row>
    <row r="972" spans="1:11" x14ac:dyDescent="0.25">
      <c r="A972" s="53" t="s">
        <v>1168</v>
      </c>
      <c r="B972" s="33" t="s">
        <v>221</v>
      </c>
      <c r="C972" s="24" t="s">
        <v>1312</v>
      </c>
      <c r="D972" s="10">
        <v>8350</v>
      </c>
      <c r="E972" s="10"/>
      <c r="F972" s="64" t="s">
        <v>52</v>
      </c>
      <c r="G972" s="10" t="s">
        <v>1271</v>
      </c>
      <c r="H972" s="59" t="s">
        <v>1267</v>
      </c>
      <c r="I972" s="10" t="s">
        <v>1181</v>
      </c>
      <c r="J972" s="15">
        <v>41689</v>
      </c>
      <c r="K972" s="3"/>
    </row>
    <row r="973" spans="1:11" x14ac:dyDescent="0.25">
      <c r="A973" s="53" t="s">
        <v>1169</v>
      </c>
      <c r="B973" s="33" t="s">
        <v>221</v>
      </c>
      <c r="C973" s="24" t="s">
        <v>1313</v>
      </c>
      <c r="D973" s="10">
        <v>8350</v>
      </c>
      <c r="E973" s="10"/>
      <c r="F973" s="64" t="s">
        <v>52</v>
      </c>
      <c r="G973" s="10" t="s">
        <v>1271</v>
      </c>
      <c r="H973" s="59" t="s">
        <v>1267</v>
      </c>
      <c r="I973" s="10" t="s">
        <v>1181</v>
      </c>
      <c r="J973" s="15">
        <v>41689</v>
      </c>
      <c r="K973" s="3"/>
    </row>
    <row r="974" spans="1:11" x14ac:dyDescent="0.25">
      <c r="A974" s="53" t="s">
        <v>1170</v>
      </c>
      <c r="B974" s="33" t="s">
        <v>221</v>
      </c>
      <c r="C974" s="24" t="s">
        <v>1314</v>
      </c>
      <c r="D974" s="10">
        <v>8350</v>
      </c>
      <c r="E974" s="10"/>
      <c r="F974" s="64" t="s">
        <v>52</v>
      </c>
      <c r="G974" s="10" t="s">
        <v>1271</v>
      </c>
      <c r="H974" s="59" t="s">
        <v>1267</v>
      </c>
      <c r="I974" s="10" t="s">
        <v>1181</v>
      </c>
      <c r="J974" s="15">
        <v>41689</v>
      </c>
      <c r="K974" s="3"/>
    </row>
    <row r="975" spans="1:11" x14ac:dyDescent="0.25">
      <c r="A975" s="53" t="s">
        <v>1171</v>
      </c>
      <c r="B975" s="33" t="s">
        <v>221</v>
      </c>
      <c r="C975" s="24" t="s">
        <v>1315</v>
      </c>
      <c r="D975" s="10" t="s">
        <v>1038</v>
      </c>
      <c r="E975" s="10"/>
      <c r="F975" s="64" t="s">
        <v>52</v>
      </c>
      <c r="G975" s="10" t="s">
        <v>1288</v>
      </c>
      <c r="H975" s="75">
        <v>41698</v>
      </c>
      <c r="I975" s="10" t="s">
        <v>1288</v>
      </c>
      <c r="J975" s="15">
        <v>41701</v>
      </c>
      <c r="K975" s="3"/>
    </row>
    <row r="976" spans="1:11" x14ac:dyDescent="0.25">
      <c r="A976" s="10">
        <v>1102</v>
      </c>
      <c r="B976" s="33" t="s">
        <v>221</v>
      </c>
      <c r="C976" s="24" t="s">
        <v>1320</v>
      </c>
      <c r="D976" s="10">
        <v>8351</v>
      </c>
      <c r="E976" s="10"/>
      <c r="F976" s="64" t="s">
        <v>52</v>
      </c>
      <c r="G976" s="10" t="s">
        <v>1271</v>
      </c>
      <c r="H976" s="59" t="s">
        <v>1267</v>
      </c>
      <c r="I976" s="10" t="s">
        <v>1204</v>
      </c>
      <c r="J976" s="15">
        <v>41705</v>
      </c>
      <c r="K976" s="3"/>
    </row>
    <row r="977" spans="1:11" x14ac:dyDescent="0.25">
      <c r="A977" s="10">
        <v>1103</v>
      </c>
      <c r="B977" s="33" t="s">
        <v>221</v>
      </c>
      <c r="C977" s="24" t="s">
        <v>1319</v>
      </c>
      <c r="D977" s="10">
        <v>8351</v>
      </c>
      <c r="E977" s="10"/>
      <c r="F977" s="64" t="s">
        <v>52</v>
      </c>
      <c r="G977" s="10" t="s">
        <v>1271</v>
      </c>
      <c r="H977" s="59" t="s">
        <v>1267</v>
      </c>
      <c r="I977" s="10" t="s">
        <v>1204</v>
      </c>
      <c r="J977" s="15">
        <v>41705</v>
      </c>
      <c r="K977" s="3"/>
    </row>
    <row r="978" spans="1:11" x14ac:dyDescent="0.25">
      <c r="A978" s="10">
        <v>1104</v>
      </c>
      <c r="B978" s="33" t="s">
        <v>221</v>
      </c>
      <c r="C978" s="24" t="s">
        <v>1317</v>
      </c>
      <c r="D978" s="10">
        <v>8351</v>
      </c>
      <c r="E978" s="10"/>
      <c r="F978" s="64" t="s">
        <v>52</v>
      </c>
      <c r="G978" s="10" t="s">
        <v>1271</v>
      </c>
      <c r="H978" s="59" t="s">
        <v>1267</v>
      </c>
      <c r="I978" s="10" t="s">
        <v>1204</v>
      </c>
      <c r="J978" s="15">
        <v>41705</v>
      </c>
      <c r="K978" s="3"/>
    </row>
    <row r="979" spans="1:11" x14ac:dyDescent="0.25">
      <c r="A979" s="10">
        <v>1105</v>
      </c>
      <c r="B979" s="33" t="s">
        <v>221</v>
      </c>
      <c r="C979" s="24" t="s">
        <v>1316</v>
      </c>
      <c r="D979" s="10">
        <v>8351</v>
      </c>
      <c r="E979" s="10"/>
      <c r="F979" s="64" t="s">
        <v>52</v>
      </c>
      <c r="G979" s="10" t="s">
        <v>1271</v>
      </c>
      <c r="H979" s="59" t="s">
        <v>1267</v>
      </c>
      <c r="I979" s="10" t="s">
        <v>1204</v>
      </c>
      <c r="J979" s="15">
        <v>41705</v>
      </c>
      <c r="K979" s="3"/>
    </row>
    <row r="980" spans="1:11" x14ac:dyDescent="0.25">
      <c r="A980" s="10">
        <v>1106</v>
      </c>
      <c r="B980" s="33" t="s">
        <v>221</v>
      </c>
      <c r="C980" s="24" t="s">
        <v>1318</v>
      </c>
      <c r="D980" s="10">
        <v>8351</v>
      </c>
      <c r="E980" s="10"/>
      <c r="F980" s="64" t="s">
        <v>52</v>
      </c>
      <c r="G980" s="10" t="s">
        <v>1271</v>
      </c>
      <c r="H980" s="59" t="s">
        <v>1267</v>
      </c>
      <c r="I980" s="10" t="s">
        <v>1204</v>
      </c>
      <c r="J980" s="15">
        <v>41705</v>
      </c>
      <c r="K980" s="3"/>
    </row>
    <row r="981" spans="1:11" x14ac:dyDescent="0.25">
      <c r="A981" s="10">
        <v>1107</v>
      </c>
      <c r="B981" s="33" t="s">
        <v>221</v>
      </c>
      <c r="C981" s="24" t="s">
        <v>1321</v>
      </c>
      <c r="D981" s="10" t="s">
        <v>1336</v>
      </c>
      <c r="E981" s="10"/>
      <c r="F981" s="64" t="s">
        <v>52</v>
      </c>
      <c r="G981" s="10" t="s">
        <v>1288</v>
      </c>
      <c r="H981" s="75">
        <v>41704</v>
      </c>
      <c r="I981" s="10" t="s">
        <v>1337</v>
      </c>
      <c r="J981" s="15">
        <v>41708</v>
      </c>
      <c r="K981" s="3"/>
    </row>
    <row r="982" spans="1:11" x14ac:dyDescent="0.25">
      <c r="A982" s="10">
        <v>1108</v>
      </c>
      <c r="B982" s="33" t="s">
        <v>221</v>
      </c>
      <c r="C982" s="24" t="s">
        <v>1322</v>
      </c>
      <c r="D982" s="10" t="s">
        <v>1335</v>
      </c>
      <c r="E982" s="10"/>
      <c r="F982" s="64" t="s">
        <v>51</v>
      </c>
      <c r="G982" s="10" t="s">
        <v>1271</v>
      </c>
      <c r="H982" s="75">
        <v>41709</v>
      </c>
      <c r="I982" s="10" t="s">
        <v>1337</v>
      </c>
      <c r="J982" s="15">
        <v>41709</v>
      </c>
      <c r="K982" s="3"/>
    </row>
    <row r="983" spans="1:11" x14ac:dyDescent="0.25">
      <c r="A983" s="10">
        <v>1109</v>
      </c>
      <c r="B983" s="33" t="s">
        <v>221</v>
      </c>
      <c r="C983" s="24" t="s">
        <v>1323</v>
      </c>
      <c r="D983" s="10" t="s">
        <v>1335</v>
      </c>
      <c r="E983" s="10"/>
      <c r="F983" s="64" t="s">
        <v>51</v>
      </c>
      <c r="G983" s="10" t="s">
        <v>1271</v>
      </c>
      <c r="H983" s="75">
        <v>41709</v>
      </c>
      <c r="I983" s="10" t="s">
        <v>1337</v>
      </c>
      <c r="J983" s="15">
        <v>41709</v>
      </c>
      <c r="K983" s="3"/>
    </row>
    <row r="984" spans="1:11" x14ac:dyDescent="0.25">
      <c r="A984" s="10">
        <v>1110</v>
      </c>
      <c r="B984" s="33" t="s">
        <v>221</v>
      </c>
      <c r="C984" s="24" t="s">
        <v>1324</v>
      </c>
      <c r="D984" s="10" t="s">
        <v>1335</v>
      </c>
      <c r="E984" s="10"/>
      <c r="F984" s="64" t="s">
        <v>51</v>
      </c>
      <c r="G984" s="10" t="s">
        <v>1271</v>
      </c>
      <c r="H984" s="75">
        <v>41709</v>
      </c>
      <c r="I984" s="10" t="s">
        <v>1337</v>
      </c>
      <c r="J984" s="15">
        <v>41709</v>
      </c>
      <c r="K984" s="3"/>
    </row>
    <row r="985" spans="1:11" x14ac:dyDescent="0.25">
      <c r="A985" s="10">
        <v>1111</v>
      </c>
      <c r="B985" s="33" t="s">
        <v>221</v>
      </c>
      <c r="C985" s="24" t="s">
        <v>1325</v>
      </c>
      <c r="D985" s="10" t="s">
        <v>1335</v>
      </c>
      <c r="E985" s="10"/>
      <c r="F985" s="64" t="s">
        <v>51</v>
      </c>
      <c r="G985" s="10" t="s">
        <v>1271</v>
      </c>
      <c r="H985" s="75">
        <v>41709</v>
      </c>
      <c r="I985" s="10" t="s">
        <v>1337</v>
      </c>
      <c r="J985" s="15">
        <v>41709</v>
      </c>
      <c r="K985" s="3"/>
    </row>
    <row r="986" spans="1:11" x14ac:dyDescent="0.25">
      <c r="A986" s="10">
        <v>1112</v>
      </c>
      <c r="B986" s="33" t="s">
        <v>221</v>
      </c>
      <c r="C986" s="24" t="s">
        <v>1326</v>
      </c>
      <c r="D986" s="10" t="s">
        <v>1335</v>
      </c>
      <c r="E986" s="10"/>
      <c r="F986" s="64" t="s">
        <v>51</v>
      </c>
      <c r="G986" s="10" t="s">
        <v>1271</v>
      </c>
      <c r="H986" s="75">
        <v>41709</v>
      </c>
      <c r="I986" s="10" t="s">
        <v>1337</v>
      </c>
      <c r="J986" s="15">
        <v>41709</v>
      </c>
      <c r="K986" s="3"/>
    </row>
    <row r="987" spans="1:11" ht="25" x14ac:dyDescent="0.25">
      <c r="A987" s="10">
        <v>1113</v>
      </c>
      <c r="B987" s="10" t="s">
        <v>257</v>
      </c>
      <c r="C987" s="103" t="s">
        <v>1327</v>
      </c>
      <c r="D987" s="10">
        <v>8354</v>
      </c>
      <c r="E987" s="10"/>
      <c r="F987" s="64" t="s">
        <v>168</v>
      </c>
      <c r="G987" s="10" t="s">
        <v>1271</v>
      </c>
      <c r="H987" s="16"/>
      <c r="I987" s="10"/>
      <c r="J987" s="10"/>
      <c r="K987" s="3"/>
    </row>
    <row r="988" spans="1:11" x14ac:dyDescent="0.25">
      <c r="A988" s="10">
        <v>1114</v>
      </c>
      <c r="B988" s="10" t="s">
        <v>257</v>
      </c>
      <c r="C988" s="24" t="s">
        <v>1328</v>
      </c>
      <c r="D988" s="10">
        <v>8422</v>
      </c>
      <c r="E988" s="10"/>
      <c r="F988" s="64" t="s">
        <v>27</v>
      </c>
      <c r="G988" s="10" t="s">
        <v>1271</v>
      </c>
      <c r="H988" s="75">
        <v>41716</v>
      </c>
      <c r="I988" s="10" t="s">
        <v>1288</v>
      </c>
      <c r="J988" s="15">
        <v>41716</v>
      </c>
      <c r="K988" s="3"/>
    </row>
    <row r="989" spans="1:11" x14ac:dyDescent="0.25">
      <c r="A989" s="10">
        <v>1115</v>
      </c>
      <c r="B989" s="10" t="s">
        <v>257</v>
      </c>
      <c r="C989" s="24" t="s">
        <v>1329</v>
      </c>
      <c r="D989" s="10" t="s">
        <v>1334</v>
      </c>
      <c r="E989" s="10"/>
      <c r="F989" s="64" t="s">
        <v>27</v>
      </c>
      <c r="G989" s="10" t="s">
        <v>1271</v>
      </c>
      <c r="H989" s="75">
        <v>41716</v>
      </c>
      <c r="I989" s="10" t="s">
        <v>1288</v>
      </c>
      <c r="J989" s="15">
        <v>41716</v>
      </c>
      <c r="K989" s="3"/>
    </row>
    <row r="990" spans="1:11" x14ac:dyDescent="0.25">
      <c r="A990" s="10">
        <v>1116</v>
      </c>
      <c r="B990" s="10" t="s">
        <v>257</v>
      </c>
      <c r="C990" s="24" t="s">
        <v>1330</v>
      </c>
      <c r="D990" s="10" t="s">
        <v>1334</v>
      </c>
      <c r="E990" s="10"/>
      <c r="F990" s="64" t="s">
        <v>27</v>
      </c>
      <c r="G990" s="10" t="s">
        <v>1271</v>
      </c>
      <c r="H990" s="75">
        <v>41716</v>
      </c>
      <c r="I990" s="10" t="s">
        <v>1288</v>
      </c>
      <c r="J990" s="15">
        <v>41716</v>
      </c>
      <c r="K990" s="3"/>
    </row>
    <row r="991" spans="1:11" x14ac:dyDescent="0.25">
      <c r="A991" s="10">
        <v>1117</v>
      </c>
      <c r="B991" s="33" t="s">
        <v>221</v>
      </c>
      <c r="C991" s="24" t="s">
        <v>1331</v>
      </c>
      <c r="D991" s="10">
        <v>8354</v>
      </c>
      <c r="E991" s="10"/>
      <c r="F991" s="64" t="s">
        <v>451</v>
      </c>
      <c r="G991" s="10" t="s">
        <v>1271</v>
      </c>
      <c r="H991" s="75">
        <v>41716</v>
      </c>
      <c r="I991" s="10" t="s">
        <v>1288</v>
      </c>
      <c r="J991" s="15">
        <v>41717</v>
      </c>
      <c r="K991" s="3"/>
    </row>
    <row r="992" spans="1:11" x14ac:dyDescent="0.25">
      <c r="A992" s="10">
        <v>1118</v>
      </c>
      <c r="B992" s="33" t="s">
        <v>221</v>
      </c>
      <c r="C992" s="24" t="s">
        <v>1332</v>
      </c>
      <c r="D992" s="10">
        <v>8354</v>
      </c>
      <c r="E992" s="10"/>
      <c r="F992" s="64" t="s">
        <v>451</v>
      </c>
      <c r="G992" s="10" t="s">
        <v>1271</v>
      </c>
      <c r="H992" s="75">
        <v>41716</v>
      </c>
      <c r="I992" s="10" t="s">
        <v>1288</v>
      </c>
      <c r="J992" s="15">
        <v>41717</v>
      </c>
      <c r="K992" s="3"/>
    </row>
    <row r="993" spans="1:11" x14ac:dyDescent="0.25">
      <c r="A993" s="10">
        <v>1119</v>
      </c>
      <c r="B993" s="33" t="s">
        <v>221</v>
      </c>
      <c r="C993" s="24" t="s">
        <v>1333</v>
      </c>
      <c r="D993" s="10">
        <v>8354</v>
      </c>
      <c r="E993" s="10"/>
      <c r="F993" s="64" t="s">
        <v>451</v>
      </c>
      <c r="G993" s="10" t="s">
        <v>1271</v>
      </c>
      <c r="H993" s="75">
        <v>41716</v>
      </c>
      <c r="I993" s="10" t="s">
        <v>1288</v>
      </c>
      <c r="J993" s="15">
        <v>41717</v>
      </c>
      <c r="K993" s="3"/>
    </row>
    <row r="994" spans="1:11" x14ac:dyDescent="0.25">
      <c r="A994" s="10">
        <v>1120</v>
      </c>
      <c r="B994" s="10"/>
      <c r="C994" s="108" t="s">
        <v>1524</v>
      </c>
      <c r="D994" s="10"/>
      <c r="E994" s="10"/>
      <c r="F994" s="64"/>
      <c r="G994" s="10"/>
      <c r="H994" s="75"/>
      <c r="I994" s="10"/>
      <c r="J994" s="10"/>
      <c r="K994" s="3"/>
    </row>
    <row r="995" spans="1:11" x14ac:dyDescent="0.25">
      <c r="A995" s="10">
        <v>1121</v>
      </c>
      <c r="B995" s="10"/>
      <c r="C995" s="108" t="s">
        <v>1524</v>
      </c>
      <c r="D995" s="10"/>
      <c r="E995" s="10"/>
      <c r="F995" s="64"/>
      <c r="G995" s="10"/>
      <c r="H995" s="75"/>
      <c r="I995" s="10"/>
      <c r="J995" s="10"/>
      <c r="K995" s="3"/>
    </row>
    <row r="996" spans="1:11" x14ac:dyDescent="0.25">
      <c r="A996" s="10">
        <v>1122</v>
      </c>
      <c r="B996" s="10"/>
      <c r="C996" s="108" t="s">
        <v>1524</v>
      </c>
      <c r="D996" s="10"/>
      <c r="E996" s="10"/>
      <c r="F996" s="64"/>
      <c r="G996" s="10"/>
      <c r="H996" s="75"/>
      <c r="I996" s="10"/>
      <c r="J996" s="10"/>
      <c r="K996" s="3"/>
    </row>
    <row r="997" spans="1:11" x14ac:dyDescent="0.25">
      <c r="A997" s="10">
        <v>1123</v>
      </c>
      <c r="B997" s="10"/>
      <c r="C997" s="108" t="s">
        <v>1524</v>
      </c>
      <c r="D997" s="10"/>
      <c r="E997" s="10"/>
      <c r="F997" s="64"/>
      <c r="G997" s="10"/>
      <c r="H997" s="75"/>
      <c r="I997" s="10"/>
      <c r="J997" s="10"/>
      <c r="K997" s="3"/>
    </row>
    <row r="998" spans="1:11" x14ac:dyDescent="0.25">
      <c r="A998" s="10">
        <v>1124</v>
      </c>
      <c r="B998" s="10"/>
      <c r="C998" s="108" t="s">
        <v>1524</v>
      </c>
      <c r="D998" s="10"/>
      <c r="E998" s="10"/>
      <c r="F998" s="64"/>
      <c r="G998" s="10"/>
      <c r="H998" s="75"/>
      <c r="I998" s="10"/>
      <c r="J998" s="10"/>
      <c r="K998" s="3"/>
    </row>
    <row r="999" spans="1:11" x14ac:dyDescent="0.25">
      <c r="A999" s="10">
        <v>1125</v>
      </c>
      <c r="B999" s="10"/>
      <c r="C999" s="108" t="s">
        <v>1524</v>
      </c>
      <c r="D999" s="10"/>
      <c r="E999" s="10"/>
      <c r="F999" s="64"/>
      <c r="G999" s="10"/>
      <c r="H999" s="75"/>
      <c r="I999" s="10"/>
      <c r="J999" s="10"/>
      <c r="K999" s="3"/>
    </row>
    <row r="1000" spans="1:11" x14ac:dyDescent="0.25">
      <c r="A1000" s="10">
        <v>1126</v>
      </c>
      <c r="B1000" s="10"/>
      <c r="C1000" s="108" t="s">
        <v>1524</v>
      </c>
      <c r="D1000" s="10"/>
      <c r="E1000" s="10"/>
      <c r="F1000" s="64"/>
      <c r="G1000" s="10"/>
      <c r="H1000" s="75"/>
      <c r="I1000" s="10"/>
      <c r="J1000" s="10"/>
      <c r="K1000" s="3"/>
    </row>
    <row r="1001" spans="1:11" x14ac:dyDescent="0.25">
      <c r="A1001" s="10">
        <v>1127</v>
      </c>
      <c r="B1001" s="10"/>
      <c r="C1001" s="108" t="s">
        <v>1524</v>
      </c>
      <c r="D1001" s="10"/>
      <c r="E1001" s="10"/>
      <c r="F1001" s="64"/>
      <c r="G1001" s="10"/>
      <c r="H1001" s="75"/>
      <c r="I1001" s="10"/>
      <c r="J1001" s="10"/>
      <c r="K1001" s="3"/>
    </row>
    <row r="1002" spans="1:11" x14ac:dyDescent="0.25">
      <c r="A1002" s="10">
        <v>1128</v>
      </c>
      <c r="B1002" s="4" t="s">
        <v>221</v>
      </c>
      <c r="C1002" s="24" t="s">
        <v>1342</v>
      </c>
      <c r="D1002" s="10" t="s">
        <v>1341</v>
      </c>
      <c r="E1002" s="10"/>
      <c r="F1002" s="64" t="s">
        <v>52</v>
      </c>
      <c r="G1002" s="10" t="s">
        <v>1344</v>
      </c>
      <c r="H1002" s="75">
        <v>41746</v>
      </c>
      <c r="I1002" s="10" t="s">
        <v>1181</v>
      </c>
      <c r="J1002" s="15">
        <v>41751</v>
      </c>
      <c r="K1002" s="3"/>
    </row>
    <row r="1003" spans="1:11" x14ac:dyDescent="0.25">
      <c r="A1003" s="10">
        <v>1129</v>
      </c>
      <c r="B1003" s="4" t="s">
        <v>221</v>
      </c>
      <c r="C1003" s="24" t="s">
        <v>1346</v>
      </c>
      <c r="D1003" s="10">
        <v>8291</v>
      </c>
      <c r="E1003" s="10"/>
      <c r="F1003" s="64" t="s">
        <v>623</v>
      </c>
      <c r="G1003" s="10" t="s">
        <v>1343</v>
      </c>
      <c r="H1003" s="75">
        <v>41781</v>
      </c>
      <c r="I1003" s="10"/>
      <c r="J1003" s="10"/>
      <c r="K1003" s="3"/>
    </row>
    <row r="1004" spans="1:11" x14ac:dyDescent="0.25">
      <c r="A1004" s="10">
        <v>1130</v>
      </c>
      <c r="B1004" s="4" t="s">
        <v>221</v>
      </c>
      <c r="C1004" s="24" t="s">
        <v>1347</v>
      </c>
      <c r="D1004" s="10">
        <v>8291</v>
      </c>
      <c r="E1004" s="10"/>
      <c r="F1004" s="64" t="s">
        <v>623</v>
      </c>
      <c r="G1004" s="10" t="s">
        <v>1343</v>
      </c>
      <c r="H1004" s="75">
        <v>41781</v>
      </c>
      <c r="I1004" s="10"/>
      <c r="J1004" s="10"/>
      <c r="K1004" s="3"/>
    </row>
    <row r="1005" spans="1:11" x14ac:dyDescent="0.25">
      <c r="A1005" s="10">
        <v>1131</v>
      </c>
      <c r="B1005" s="4" t="s">
        <v>221</v>
      </c>
      <c r="C1005" s="24" t="s">
        <v>1348</v>
      </c>
      <c r="D1005" s="10">
        <v>8291</v>
      </c>
      <c r="E1005" s="10"/>
      <c r="F1005" s="64" t="s">
        <v>623</v>
      </c>
      <c r="G1005" s="10" t="s">
        <v>1343</v>
      </c>
      <c r="H1005" s="75">
        <v>41781</v>
      </c>
      <c r="I1005" s="10"/>
      <c r="J1005" s="10"/>
      <c r="K1005" s="3"/>
    </row>
    <row r="1006" spans="1:11" x14ac:dyDescent="0.25">
      <c r="A1006" s="10">
        <v>1132</v>
      </c>
      <c r="B1006" s="4" t="s">
        <v>221</v>
      </c>
      <c r="C1006" s="24" t="s">
        <v>1349</v>
      </c>
      <c r="D1006" s="10">
        <v>8291</v>
      </c>
      <c r="E1006" s="10"/>
      <c r="F1006" s="64" t="s">
        <v>623</v>
      </c>
      <c r="G1006" s="10" t="s">
        <v>1343</v>
      </c>
      <c r="H1006" s="75">
        <v>41781</v>
      </c>
      <c r="I1006" s="10"/>
      <c r="J1006" s="10"/>
      <c r="K1006" s="3"/>
    </row>
    <row r="1007" spans="1:11" x14ac:dyDescent="0.25">
      <c r="A1007" s="10">
        <v>1133</v>
      </c>
      <c r="B1007" s="4" t="s">
        <v>221</v>
      </c>
      <c r="C1007" s="24" t="s">
        <v>1350</v>
      </c>
      <c r="D1007" s="10">
        <v>8291</v>
      </c>
      <c r="E1007" s="10"/>
      <c r="F1007" s="64" t="s">
        <v>623</v>
      </c>
      <c r="G1007" s="10" t="s">
        <v>1343</v>
      </c>
      <c r="H1007" s="75">
        <v>41781</v>
      </c>
      <c r="I1007" s="10"/>
      <c r="J1007" s="10"/>
      <c r="K1007" s="3"/>
    </row>
    <row r="1008" spans="1:11" x14ac:dyDescent="0.25">
      <c r="A1008" s="10">
        <v>1134</v>
      </c>
      <c r="B1008" s="4" t="s">
        <v>221</v>
      </c>
      <c r="C1008" s="24" t="s">
        <v>1351</v>
      </c>
      <c r="D1008" s="10">
        <v>8291</v>
      </c>
      <c r="E1008" s="10"/>
      <c r="F1008" s="64" t="s">
        <v>623</v>
      </c>
      <c r="G1008" s="10" t="s">
        <v>1343</v>
      </c>
      <c r="H1008" s="75">
        <v>41781</v>
      </c>
      <c r="I1008" s="10"/>
      <c r="J1008" s="10"/>
      <c r="K1008" s="3"/>
    </row>
    <row r="1009" spans="1:11" x14ac:dyDescent="0.25">
      <c r="A1009" s="10">
        <v>1135</v>
      </c>
      <c r="B1009" s="4" t="s">
        <v>221</v>
      </c>
      <c r="C1009" s="24" t="s">
        <v>1352</v>
      </c>
      <c r="D1009" s="10">
        <v>8291</v>
      </c>
      <c r="E1009" s="10"/>
      <c r="F1009" s="64" t="s">
        <v>623</v>
      </c>
      <c r="G1009" s="10" t="s">
        <v>1343</v>
      </c>
      <c r="H1009" s="75">
        <v>41781</v>
      </c>
      <c r="I1009" s="10"/>
      <c r="J1009" s="10"/>
      <c r="K1009" s="3"/>
    </row>
    <row r="1010" spans="1:11" x14ac:dyDescent="0.25">
      <c r="A1010" s="10">
        <v>1136</v>
      </c>
      <c r="B1010" s="4" t="s">
        <v>221</v>
      </c>
      <c r="C1010" s="24" t="s">
        <v>1353</v>
      </c>
      <c r="D1010" s="10">
        <v>8347</v>
      </c>
      <c r="E1010" s="10"/>
      <c r="F1010" s="64" t="s">
        <v>52</v>
      </c>
      <c r="G1010" s="10" t="s">
        <v>1179</v>
      </c>
      <c r="H1010" s="75">
        <v>41781</v>
      </c>
      <c r="I1010" s="10" t="s">
        <v>1181</v>
      </c>
      <c r="J1010" s="15">
        <v>41786</v>
      </c>
      <c r="K1010" s="3"/>
    </row>
    <row r="1011" spans="1:11" x14ac:dyDescent="0.25">
      <c r="A1011" s="10">
        <v>1137</v>
      </c>
      <c r="B1011" s="4" t="s">
        <v>221</v>
      </c>
      <c r="C1011" s="24" t="s">
        <v>1354</v>
      </c>
      <c r="D1011" s="10">
        <v>8347</v>
      </c>
      <c r="E1011" s="10"/>
      <c r="F1011" s="64" t="s">
        <v>52</v>
      </c>
      <c r="G1011" s="10" t="s">
        <v>1179</v>
      </c>
      <c r="H1011" s="75">
        <v>41781</v>
      </c>
      <c r="I1011" s="10" t="s">
        <v>1181</v>
      </c>
      <c r="J1011" s="15">
        <v>41786</v>
      </c>
      <c r="K1011" s="3"/>
    </row>
    <row r="1012" spans="1:11" x14ac:dyDescent="0.25">
      <c r="A1012" s="10">
        <v>1138</v>
      </c>
      <c r="B1012" s="4" t="s">
        <v>221</v>
      </c>
      <c r="C1012" s="24" t="s">
        <v>1355</v>
      </c>
      <c r="D1012" s="10">
        <v>8347</v>
      </c>
      <c r="E1012" s="10"/>
      <c r="F1012" s="64" t="s">
        <v>52</v>
      </c>
      <c r="G1012" s="10" t="s">
        <v>1179</v>
      </c>
      <c r="H1012" s="75">
        <v>41781</v>
      </c>
      <c r="I1012" s="10" t="s">
        <v>1181</v>
      </c>
      <c r="J1012" s="15">
        <v>41786</v>
      </c>
      <c r="K1012" s="3"/>
    </row>
    <row r="1013" spans="1:11" x14ac:dyDescent="0.25">
      <c r="A1013" s="10">
        <v>1139</v>
      </c>
      <c r="B1013" s="4" t="s">
        <v>221</v>
      </c>
      <c r="C1013" s="24" t="s">
        <v>1356</v>
      </c>
      <c r="D1013" s="10">
        <v>8347</v>
      </c>
      <c r="E1013" s="10"/>
      <c r="F1013" s="64" t="s">
        <v>52</v>
      </c>
      <c r="G1013" s="10" t="s">
        <v>1179</v>
      </c>
      <c r="H1013" s="75">
        <v>41781</v>
      </c>
      <c r="I1013" s="10" t="s">
        <v>1181</v>
      </c>
      <c r="J1013" s="15">
        <v>41786</v>
      </c>
      <c r="K1013" s="3"/>
    </row>
    <row r="1014" spans="1:11" x14ac:dyDescent="0.25">
      <c r="A1014" s="10">
        <v>1140</v>
      </c>
      <c r="B1014" s="4" t="s">
        <v>221</v>
      </c>
      <c r="C1014" s="45" t="s">
        <v>1369</v>
      </c>
      <c r="D1014" s="10">
        <v>8347</v>
      </c>
      <c r="E1014" s="10"/>
      <c r="F1014" s="64" t="s">
        <v>52</v>
      </c>
      <c r="G1014" s="10" t="s">
        <v>1179</v>
      </c>
      <c r="H1014" s="75">
        <v>41781</v>
      </c>
      <c r="I1014" s="10" t="s">
        <v>1181</v>
      </c>
      <c r="J1014" s="15">
        <v>41786</v>
      </c>
      <c r="K1014" s="104"/>
    </row>
    <row r="1015" spans="1:11" x14ac:dyDescent="0.25">
      <c r="A1015" s="10">
        <v>1141</v>
      </c>
      <c r="B1015" s="4" t="s">
        <v>257</v>
      </c>
      <c r="C1015" s="24" t="s">
        <v>1358</v>
      </c>
      <c r="D1015" s="10" t="s">
        <v>1357</v>
      </c>
      <c r="E1015" s="10"/>
      <c r="F1015" s="64" t="s">
        <v>27</v>
      </c>
      <c r="G1015" s="10" t="s">
        <v>1179</v>
      </c>
      <c r="H1015" s="75">
        <v>41786</v>
      </c>
      <c r="I1015" s="10" t="s">
        <v>1181</v>
      </c>
      <c r="J1015" s="15">
        <v>41787</v>
      </c>
      <c r="K1015" s="3"/>
    </row>
    <row r="1016" spans="1:11" x14ac:dyDescent="0.25">
      <c r="A1016" s="10">
        <v>1142</v>
      </c>
      <c r="B1016" s="4" t="s">
        <v>257</v>
      </c>
      <c r="C1016" s="24" t="s">
        <v>1359</v>
      </c>
      <c r="D1016" s="10">
        <v>8347</v>
      </c>
      <c r="E1016" s="10"/>
      <c r="F1016" s="64" t="s">
        <v>27</v>
      </c>
      <c r="G1016" s="10" t="s">
        <v>1179</v>
      </c>
      <c r="H1016" s="75">
        <v>41786</v>
      </c>
      <c r="I1016" s="10" t="s">
        <v>1181</v>
      </c>
      <c r="J1016" s="15">
        <v>41786</v>
      </c>
      <c r="K1016" s="3"/>
    </row>
    <row r="1017" spans="1:11" x14ac:dyDescent="0.25">
      <c r="A1017" s="59">
        <v>1143</v>
      </c>
      <c r="B1017" s="57" t="s">
        <v>221</v>
      </c>
      <c r="C1017" s="56" t="s">
        <v>1370</v>
      </c>
      <c r="D1017" s="59">
        <v>8325</v>
      </c>
      <c r="E1017" s="59"/>
      <c r="F1017" s="90" t="s">
        <v>623</v>
      </c>
      <c r="G1017" s="59"/>
      <c r="H1017" s="99"/>
      <c r="I1017" s="59" t="s">
        <v>1181</v>
      </c>
      <c r="J1017" s="107">
        <v>41821</v>
      </c>
      <c r="K1017" s="104" t="s">
        <v>1397</v>
      </c>
    </row>
    <row r="1018" spans="1:11" s="55" customFormat="1" ht="25" x14ac:dyDescent="0.25">
      <c r="A1018" s="10">
        <v>1144</v>
      </c>
      <c r="B1018" s="37" t="s">
        <v>257</v>
      </c>
      <c r="C1018" s="61" t="s">
        <v>1517</v>
      </c>
      <c r="D1018" s="37" t="s">
        <v>1364</v>
      </c>
      <c r="E1018" s="10"/>
      <c r="F1018" s="60" t="s">
        <v>168</v>
      </c>
      <c r="G1018" s="37" t="s">
        <v>1288</v>
      </c>
      <c r="H1018" s="75">
        <v>41823</v>
      </c>
      <c r="I1018" s="10"/>
      <c r="J1018" s="10"/>
      <c r="K1018" s="54"/>
    </row>
    <row r="1019" spans="1:11" x14ac:dyDescent="0.25">
      <c r="A1019" s="10">
        <v>1145</v>
      </c>
      <c r="B1019" s="33" t="s">
        <v>221</v>
      </c>
      <c r="C1019" s="45" t="s">
        <v>1371</v>
      </c>
      <c r="D1019" s="37" t="s">
        <v>1345</v>
      </c>
      <c r="E1019" s="10"/>
      <c r="F1019" s="60" t="s">
        <v>623</v>
      </c>
      <c r="G1019" s="37" t="s">
        <v>1288</v>
      </c>
      <c r="H1019" s="75">
        <v>41823</v>
      </c>
      <c r="I1019" s="37" t="s">
        <v>1288</v>
      </c>
      <c r="J1019" s="15">
        <v>41831</v>
      </c>
      <c r="K1019" s="3"/>
    </row>
    <row r="1020" spans="1:11" s="106" customFormat="1" ht="25" x14ac:dyDescent="0.25">
      <c r="A1020" s="37">
        <v>1146</v>
      </c>
      <c r="B1020" s="37" t="s">
        <v>257</v>
      </c>
      <c r="C1020" s="61" t="s">
        <v>1387</v>
      </c>
      <c r="D1020" s="37" t="s">
        <v>1345</v>
      </c>
      <c r="E1020" s="37"/>
      <c r="F1020" s="60" t="s">
        <v>168</v>
      </c>
      <c r="G1020" s="37" t="s">
        <v>1181</v>
      </c>
      <c r="H1020" s="100">
        <v>41828</v>
      </c>
      <c r="I1020" s="37" t="s">
        <v>1368</v>
      </c>
      <c r="J1020" s="38">
        <v>41886</v>
      </c>
      <c r="K1020" s="105"/>
    </row>
    <row r="1021" spans="1:11" ht="25" x14ac:dyDescent="0.25">
      <c r="A1021" s="59">
        <v>1147</v>
      </c>
      <c r="B1021" s="59" t="s">
        <v>257</v>
      </c>
      <c r="C1021" s="108" t="s">
        <v>1372</v>
      </c>
      <c r="D1021" s="59" t="s">
        <v>1360</v>
      </c>
      <c r="E1021" s="59"/>
      <c r="F1021" s="90" t="s">
        <v>564</v>
      </c>
      <c r="G1021" s="59"/>
      <c r="H1021" s="109">
        <v>41827</v>
      </c>
      <c r="I1021" s="59" t="s">
        <v>1181</v>
      </c>
      <c r="J1021" s="109">
        <v>41827</v>
      </c>
      <c r="K1021" s="110" t="s">
        <v>1401</v>
      </c>
    </row>
    <row r="1022" spans="1:11" ht="25" x14ac:dyDescent="0.25">
      <c r="A1022" s="10">
        <v>1148</v>
      </c>
      <c r="B1022" s="37" t="s">
        <v>257</v>
      </c>
      <c r="C1022" s="80" t="s">
        <v>1373</v>
      </c>
      <c r="D1022" s="37" t="s">
        <v>1386</v>
      </c>
      <c r="E1022" s="10"/>
      <c r="F1022" s="60" t="s">
        <v>32</v>
      </c>
      <c r="G1022" s="37"/>
      <c r="H1022" s="75">
        <v>41827</v>
      </c>
      <c r="I1022" s="37" t="s">
        <v>1181</v>
      </c>
      <c r="J1022" s="75">
        <v>41827</v>
      </c>
      <c r="K1022" s="3"/>
    </row>
    <row r="1023" spans="1:11" x14ac:dyDescent="0.25">
      <c r="A1023" s="10">
        <v>1149</v>
      </c>
      <c r="B1023" s="33" t="s">
        <v>221</v>
      </c>
      <c r="C1023" s="45" t="s">
        <v>1374</v>
      </c>
      <c r="D1023" s="10">
        <v>8291</v>
      </c>
      <c r="E1023" s="10"/>
      <c r="F1023" s="60" t="s">
        <v>727</v>
      </c>
      <c r="G1023" s="37" t="s">
        <v>1201</v>
      </c>
      <c r="H1023" s="75">
        <v>41823</v>
      </c>
      <c r="I1023" s="59" t="s">
        <v>1267</v>
      </c>
      <c r="J1023" s="59" t="s">
        <v>1267</v>
      </c>
      <c r="K1023" s="3"/>
    </row>
    <row r="1024" spans="1:11" x14ac:dyDescent="0.25">
      <c r="A1024" s="10">
        <v>1150</v>
      </c>
      <c r="B1024" s="33" t="s">
        <v>221</v>
      </c>
      <c r="C1024" s="45" t="s">
        <v>1375</v>
      </c>
      <c r="D1024" s="10">
        <v>8291</v>
      </c>
      <c r="E1024" s="10"/>
      <c r="F1024" s="60" t="s">
        <v>727</v>
      </c>
      <c r="G1024" s="37" t="s">
        <v>1201</v>
      </c>
      <c r="H1024" s="75">
        <v>41823</v>
      </c>
      <c r="I1024" s="59" t="s">
        <v>1267</v>
      </c>
      <c r="J1024" s="59" t="s">
        <v>1267</v>
      </c>
      <c r="K1024" s="3"/>
    </row>
    <row r="1025" spans="1:11" x14ac:dyDescent="0.25">
      <c r="A1025" s="10">
        <v>1151</v>
      </c>
      <c r="B1025" s="33" t="s">
        <v>221</v>
      </c>
      <c r="C1025" s="45" t="s">
        <v>1376</v>
      </c>
      <c r="D1025" s="10">
        <v>8291</v>
      </c>
      <c r="E1025" s="10"/>
      <c r="F1025" s="60" t="s">
        <v>727</v>
      </c>
      <c r="G1025" s="37" t="s">
        <v>1201</v>
      </c>
      <c r="H1025" s="75">
        <v>41823</v>
      </c>
      <c r="I1025" s="59" t="s">
        <v>1267</v>
      </c>
      <c r="J1025" s="59" t="s">
        <v>1267</v>
      </c>
      <c r="K1025" s="3"/>
    </row>
    <row r="1026" spans="1:11" x14ac:dyDescent="0.25">
      <c r="A1026" s="10">
        <v>1152</v>
      </c>
      <c r="B1026" s="33" t="s">
        <v>221</v>
      </c>
      <c r="C1026" s="24" t="s">
        <v>1365</v>
      </c>
      <c r="D1026" s="10" t="s">
        <v>1366</v>
      </c>
      <c r="E1026" s="10"/>
      <c r="F1026" s="64" t="s">
        <v>51</v>
      </c>
      <c r="G1026" s="37" t="s">
        <v>1368</v>
      </c>
      <c r="H1026" s="75">
        <v>41823</v>
      </c>
      <c r="I1026" s="37" t="s">
        <v>1368</v>
      </c>
      <c r="J1026" s="15">
        <v>41827</v>
      </c>
      <c r="K1026" s="3"/>
    </row>
    <row r="1027" spans="1:11" s="55" customFormat="1" ht="25" x14ac:dyDescent="0.25">
      <c r="A1027" s="10">
        <v>1153</v>
      </c>
      <c r="B1027" s="37" t="s">
        <v>257</v>
      </c>
      <c r="C1027" s="61" t="s">
        <v>1377</v>
      </c>
      <c r="D1027" s="37" t="s">
        <v>1364</v>
      </c>
      <c r="E1027" s="10"/>
      <c r="F1027" s="60" t="s">
        <v>168</v>
      </c>
      <c r="G1027" s="37" t="s">
        <v>1288</v>
      </c>
      <c r="H1027" s="75">
        <v>41829</v>
      </c>
      <c r="I1027" s="37" t="s">
        <v>1368</v>
      </c>
      <c r="J1027" s="15">
        <v>41831</v>
      </c>
      <c r="K1027" s="54"/>
    </row>
    <row r="1028" spans="1:11" x14ac:dyDescent="0.25">
      <c r="A1028" s="10">
        <v>1154</v>
      </c>
      <c r="B1028" s="33" t="s">
        <v>221</v>
      </c>
      <c r="C1028" s="24" t="s">
        <v>1367</v>
      </c>
      <c r="D1028" s="10">
        <v>8408</v>
      </c>
      <c r="E1028" s="10"/>
      <c r="F1028" s="64" t="s">
        <v>52</v>
      </c>
      <c r="G1028" s="37" t="s">
        <v>1368</v>
      </c>
      <c r="H1028" s="75">
        <v>41834</v>
      </c>
      <c r="I1028" s="37" t="s">
        <v>1368</v>
      </c>
      <c r="J1028" s="15">
        <v>41834</v>
      </c>
      <c r="K1028" s="3"/>
    </row>
    <row r="1029" spans="1:11" s="55" customFormat="1" ht="25" x14ac:dyDescent="0.25">
      <c r="A1029" s="10">
        <v>1155</v>
      </c>
      <c r="B1029" s="37" t="s">
        <v>257</v>
      </c>
      <c r="C1029" s="65" t="s">
        <v>1361</v>
      </c>
      <c r="D1029" s="10" t="s">
        <v>1363</v>
      </c>
      <c r="E1029" s="10"/>
      <c r="F1029" s="64" t="s">
        <v>168</v>
      </c>
      <c r="G1029" s="37" t="s">
        <v>1271</v>
      </c>
      <c r="H1029" s="75">
        <v>41850</v>
      </c>
      <c r="I1029" s="37" t="s">
        <v>1368</v>
      </c>
      <c r="J1029" s="15">
        <v>41851</v>
      </c>
      <c r="K1029" s="54"/>
    </row>
    <row r="1030" spans="1:11" s="55" customFormat="1" ht="25" x14ac:dyDescent="0.25">
      <c r="A1030" s="10">
        <v>1156</v>
      </c>
      <c r="B1030" s="37" t="s">
        <v>257</v>
      </c>
      <c r="C1030" s="65" t="s">
        <v>1362</v>
      </c>
      <c r="D1030" s="10" t="s">
        <v>1363</v>
      </c>
      <c r="E1030" s="10"/>
      <c r="F1030" s="64" t="s">
        <v>168</v>
      </c>
      <c r="G1030" s="37" t="s">
        <v>1271</v>
      </c>
      <c r="H1030" s="75">
        <v>41850</v>
      </c>
      <c r="I1030" s="37" t="s">
        <v>1368</v>
      </c>
      <c r="J1030" s="15">
        <v>41851</v>
      </c>
      <c r="K1030" s="54"/>
    </row>
    <row r="1031" spans="1:11" x14ac:dyDescent="0.25">
      <c r="A1031" s="10">
        <v>1157</v>
      </c>
      <c r="B1031" s="33" t="s">
        <v>221</v>
      </c>
      <c r="C1031" s="45" t="s">
        <v>1378</v>
      </c>
      <c r="D1031" s="37" t="s">
        <v>1379</v>
      </c>
      <c r="E1031" s="10"/>
      <c r="F1031" s="60" t="s">
        <v>52</v>
      </c>
      <c r="G1031" s="37" t="s">
        <v>1271</v>
      </c>
      <c r="H1031" s="75">
        <v>41837</v>
      </c>
      <c r="I1031" s="37" t="s">
        <v>1181</v>
      </c>
      <c r="J1031" s="15">
        <v>41851</v>
      </c>
      <c r="K1031" s="3"/>
    </row>
    <row r="1032" spans="1:11" x14ac:dyDescent="0.25">
      <c r="A1032" s="10">
        <v>1158</v>
      </c>
      <c r="B1032" s="33" t="s">
        <v>221</v>
      </c>
      <c r="C1032" s="45" t="s">
        <v>1518</v>
      </c>
      <c r="D1032" s="37" t="s">
        <v>1379</v>
      </c>
      <c r="E1032" s="10"/>
      <c r="F1032" s="60" t="s">
        <v>52</v>
      </c>
      <c r="G1032" s="37" t="s">
        <v>1271</v>
      </c>
      <c r="H1032" s="75">
        <v>41837</v>
      </c>
      <c r="I1032" s="37" t="s">
        <v>1181</v>
      </c>
      <c r="J1032" s="15">
        <v>41851</v>
      </c>
      <c r="K1032" s="3"/>
    </row>
    <row r="1033" spans="1:11" x14ac:dyDescent="0.25">
      <c r="A1033" s="10">
        <v>1159</v>
      </c>
      <c r="B1033" s="33" t="s">
        <v>221</v>
      </c>
      <c r="C1033" s="45" t="s">
        <v>1390</v>
      </c>
      <c r="D1033" s="37" t="s">
        <v>1379</v>
      </c>
      <c r="E1033" s="10"/>
      <c r="F1033" s="60" t="s">
        <v>52</v>
      </c>
      <c r="G1033" s="37" t="s">
        <v>1271</v>
      </c>
      <c r="H1033" s="75">
        <v>41836</v>
      </c>
      <c r="I1033" s="37" t="s">
        <v>1181</v>
      </c>
      <c r="J1033" s="15">
        <v>41851</v>
      </c>
      <c r="K1033" s="3"/>
    </row>
    <row r="1034" spans="1:11" x14ac:dyDescent="0.25">
      <c r="A1034" s="10">
        <v>1160</v>
      </c>
      <c r="B1034" s="33" t="s">
        <v>221</v>
      </c>
      <c r="C1034" s="45" t="s">
        <v>1391</v>
      </c>
      <c r="D1034" s="37" t="s">
        <v>1379</v>
      </c>
      <c r="E1034" s="10"/>
      <c r="F1034" s="60" t="s">
        <v>52</v>
      </c>
      <c r="G1034" s="37" t="s">
        <v>1271</v>
      </c>
      <c r="H1034" s="75">
        <v>41836</v>
      </c>
      <c r="I1034" s="37" t="s">
        <v>1181</v>
      </c>
      <c r="J1034" s="15">
        <v>41851</v>
      </c>
      <c r="K1034" s="3"/>
    </row>
    <row r="1035" spans="1:11" x14ac:dyDescent="0.25">
      <c r="A1035" s="10">
        <v>1161</v>
      </c>
      <c r="B1035" s="33" t="s">
        <v>221</v>
      </c>
      <c r="C1035" s="45" t="s">
        <v>1388</v>
      </c>
      <c r="D1035" s="10">
        <v>8325</v>
      </c>
      <c r="E1035" s="10"/>
      <c r="F1035" s="60" t="s">
        <v>51</v>
      </c>
      <c r="G1035" s="37" t="s">
        <v>1380</v>
      </c>
      <c r="H1035" s="75">
        <v>41857</v>
      </c>
      <c r="I1035" s="37" t="s">
        <v>1288</v>
      </c>
      <c r="J1035" s="15">
        <v>41870</v>
      </c>
      <c r="K1035" s="3"/>
    </row>
    <row r="1036" spans="1:11" x14ac:dyDescent="0.25">
      <c r="A1036" s="10">
        <v>1162</v>
      </c>
      <c r="B1036" s="4" t="s">
        <v>221</v>
      </c>
      <c r="C1036" s="24" t="s">
        <v>1382</v>
      </c>
      <c r="D1036" s="10" t="s">
        <v>1381</v>
      </c>
      <c r="E1036" s="10"/>
      <c r="F1036" s="64" t="s">
        <v>52</v>
      </c>
      <c r="G1036" s="37" t="s">
        <v>1389</v>
      </c>
      <c r="H1036" s="75">
        <v>41879</v>
      </c>
      <c r="I1036" s="37" t="s">
        <v>1368</v>
      </c>
      <c r="J1036" s="15">
        <v>41890</v>
      </c>
      <c r="K1036" s="3"/>
    </row>
    <row r="1037" spans="1:11" x14ac:dyDescent="0.25">
      <c r="A1037" s="10">
        <v>1163</v>
      </c>
      <c r="B1037" s="4" t="s">
        <v>221</v>
      </c>
      <c r="C1037" s="24" t="s">
        <v>1383</v>
      </c>
      <c r="D1037" s="10" t="s">
        <v>1385</v>
      </c>
      <c r="E1037" s="10"/>
      <c r="F1037" s="64" t="s">
        <v>51</v>
      </c>
      <c r="G1037" s="37" t="s">
        <v>1389</v>
      </c>
      <c r="H1037" s="75">
        <v>41883</v>
      </c>
      <c r="I1037" s="37" t="s">
        <v>1181</v>
      </c>
      <c r="J1037" s="15">
        <v>41887</v>
      </c>
      <c r="K1037" s="3"/>
    </row>
    <row r="1038" spans="1:11" x14ac:dyDescent="0.25">
      <c r="A1038" s="10">
        <v>1164</v>
      </c>
      <c r="B1038" s="4" t="s">
        <v>221</v>
      </c>
      <c r="C1038" s="24" t="s">
        <v>1384</v>
      </c>
      <c r="D1038" s="10" t="s">
        <v>1385</v>
      </c>
      <c r="E1038" s="10"/>
      <c r="F1038" s="64" t="s">
        <v>51</v>
      </c>
      <c r="G1038" s="37" t="s">
        <v>1389</v>
      </c>
      <c r="H1038" s="75">
        <v>41883</v>
      </c>
      <c r="I1038" s="37" t="s">
        <v>1181</v>
      </c>
      <c r="J1038" s="15">
        <v>41887</v>
      </c>
      <c r="K1038" s="3"/>
    </row>
    <row r="1039" spans="1:11" x14ac:dyDescent="0.25">
      <c r="A1039" s="10">
        <v>1165</v>
      </c>
      <c r="B1039" s="4" t="s">
        <v>221</v>
      </c>
      <c r="C1039" s="45" t="s">
        <v>1519</v>
      </c>
      <c r="D1039" s="10">
        <v>8417</v>
      </c>
      <c r="E1039" s="10"/>
      <c r="F1039" s="60" t="s">
        <v>52</v>
      </c>
      <c r="G1039" s="37" t="s">
        <v>1389</v>
      </c>
      <c r="H1039" s="75">
        <v>41891</v>
      </c>
      <c r="I1039" s="37" t="s">
        <v>1368</v>
      </c>
      <c r="J1039" s="15">
        <v>41891</v>
      </c>
      <c r="K1039" s="3"/>
    </row>
    <row r="1040" spans="1:11" x14ac:dyDescent="0.25">
      <c r="A1040" s="10">
        <v>1166</v>
      </c>
      <c r="B1040" s="4" t="s">
        <v>221</v>
      </c>
      <c r="C1040" s="45" t="s">
        <v>1392</v>
      </c>
      <c r="D1040" s="10">
        <v>8417</v>
      </c>
      <c r="E1040" s="10"/>
      <c r="F1040" s="60" t="s">
        <v>52</v>
      </c>
      <c r="G1040" s="37" t="s">
        <v>1389</v>
      </c>
      <c r="H1040" s="75">
        <v>41891</v>
      </c>
      <c r="I1040" s="37" t="s">
        <v>1368</v>
      </c>
      <c r="J1040" s="15">
        <v>41891</v>
      </c>
      <c r="K1040" s="3"/>
    </row>
    <row r="1041" spans="1:11" x14ac:dyDescent="0.25">
      <c r="A1041" s="10">
        <v>1167</v>
      </c>
      <c r="B1041" s="4" t="s">
        <v>221</v>
      </c>
      <c r="C1041" s="45" t="s">
        <v>1393</v>
      </c>
      <c r="D1041" s="10">
        <v>8417</v>
      </c>
      <c r="E1041" s="10"/>
      <c r="F1041" s="60" t="s">
        <v>52</v>
      </c>
      <c r="G1041" s="37" t="s">
        <v>1389</v>
      </c>
      <c r="H1041" s="75">
        <v>41891</v>
      </c>
      <c r="I1041" s="37" t="s">
        <v>1368</v>
      </c>
      <c r="J1041" s="15">
        <v>41891</v>
      </c>
      <c r="K1041" s="3"/>
    </row>
    <row r="1042" spans="1:11" x14ac:dyDescent="0.25">
      <c r="A1042" s="10">
        <v>1168</v>
      </c>
      <c r="B1042" s="4" t="s">
        <v>221</v>
      </c>
      <c r="C1042" s="45" t="s">
        <v>1394</v>
      </c>
      <c r="D1042" s="10">
        <v>8325</v>
      </c>
      <c r="E1042" s="10"/>
      <c r="F1042" s="60" t="s">
        <v>623</v>
      </c>
      <c r="G1042" s="37" t="s">
        <v>1395</v>
      </c>
      <c r="H1042" s="75">
        <v>41705</v>
      </c>
      <c r="I1042" s="37" t="s">
        <v>1288</v>
      </c>
      <c r="J1042" s="15">
        <v>41891</v>
      </c>
      <c r="K1042" s="3"/>
    </row>
    <row r="1043" spans="1:11" x14ac:dyDescent="0.25">
      <c r="A1043" s="10">
        <v>1169</v>
      </c>
      <c r="B1043" s="4" t="s">
        <v>221</v>
      </c>
      <c r="C1043" s="45" t="s">
        <v>1396</v>
      </c>
      <c r="D1043" s="10">
        <v>8325</v>
      </c>
      <c r="E1043" s="10"/>
      <c r="F1043" s="60" t="s">
        <v>623</v>
      </c>
      <c r="G1043" s="37" t="s">
        <v>1395</v>
      </c>
      <c r="H1043" s="75">
        <v>41705</v>
      </c>
      <c r="I1043" s="37" t="s">
        <v>1288</v>
      </c>
      <c r="J1043" s="15">
        <v>41891</v>
      </c>
      <c r="K1043" s="3"/>
    </row>
    <row r="1044" spans="1:11" x14ac:dyDescent="0.25">
      <c r="A1044" s="10">
        <v>1170</v>
      </c>
      <c r="B1044" s="4" t="s">
        <v>221</v>
      </c>
      <c r="C1044" s="45" t="s">
        <v>1520</v>
      </c>
      <c r="D1044" s="10">
        <v>8325</v>
      </c>
      <c r="E1044" s="10"/>
      <c r="F1044" s="60" t="s">
        <v>623</v>
      </c>
      <c r="G1044" s="37" t="s">
        <v>1395</v>
      </c>
      <c r="H1044" s="75">
        <v>41705</v>
      </c>
      <c r="I1044" s="37" t="s">
        <v>1288</v>
      </c>
      <c r="J1044" s="15">
        <v>41891</v>
      </c>
      <c r="K1044" s="3"/>
    </row>
    <row r="1045" spans="1:11" x14ac:dyDescent="0.25">
      <c r="A1045" s="10">
        <v>1171</v>
      </c>
      <c r="B1045" s="4" t="s">
        <v>221</v>
      </c>
      <c r="C1045" s="26" t="s">
        <v>1398</v>
      </c>
      <c r="D1045" s="10">
        <v>8422</v>
      </c>
      <c r="E1045" s="10"/>
      <c r="F1045" s="60" t="s">
        <v>52</v>
      </c>
      <c r="G1045" s="37" t="s">
        <v>1389</v>
      </c>
      <c r="H1045" s="75">
        <v>41897</v>
      </c>
      <c r="I1045" s="37" t="s">
        <v>1368</v>
      </c>
      <c r="J1045" s="15">
        <v>41905</v>
      </c>
      <c r="K1045" s="3"/>
    </row>
    <row r="1046" spans="1:11" x14ac:dyDescent="0.25">
      <c r="A1046" s="10">
        <v>1172</v>
      </c>
      <c r="B1046" s="4" t="s">
        <v>221</v>
      </c>
      <c r="C1046" s="26" t="s">
        <v>1399</v>
      </c>
      <c r="D1046" s="10">
        <v>8422</v>
      </c>
      <c r="E1046" s="10"/>
      <c r="F1046" s="60" t="s">
        <v>52</v>
      </c>
      <c r="G1046" s="37" t="s">
        <v>1389</v>
      </c>
      <c r="H1046" s="75">
        <v>41897</v>
      </c>
      <c r="I1046" s="37" t="s">
        <v>1368</v>
      </c>
      <c r="J1046" s="15">
        <v>41905</v>
      </c>
      <c r="K1046" s="3"/>
    </row>
    <row r="1047" spans="1:11" x14ac:dyDescent="0.25">
      <c r="A1047" s="10">
        <v>1173</v>
      </c>
      <c r="B1047" s="4" t="s">
        <v>221</v>
      </c>
      <c r="C1047" s="26" t="s">
        <v>1400</v>
      </c>
      <c r="D1047" s="10">
        <v>8422</v>
      </c>
      <c r="E1047" s="10"/>
      <c r="F1047" s="60" t="s">
        <v>52</v>
      </c>
      <c r="G1047" s="37" t="s">
        <v>1389</v>
      </c>
      <c r="H1047" s="75">
        <v>41897</v>
      </c>
      <c r="I1047" s="37" t="s">
        <v>1368</v>
      </c>
      <c r="J1047" s="15">
        <v>41905</v>
      </c>
      <c r="K1047" s="3"/>
    </row>
    <row r="1048" spans="1:11" x14ac:dyDescent="0.25">
      <c r="A1048" s="10">
        <v>1174</v>
      </c>
      <c r="B1048" s="4" t="s">
        <v>221</v>
      </c>
      <c r="C1048" s="24" t="s">
        <v>1411</v>
      </c>
      <c r="D1048" s="37" t="s">
        <v>1403</v>
      </c>
      <c r="E1048" s="10"/>
      <c r="F1048" s="60" t="s">
        <v>623</v>
      </c>
      <c r="G1048" s="37" t="s">
        <v>1271</v>
      </c>
      <c r="H1048" s="75">
        <v>41913</v>
      </c>
      <c r="I1048" s="10" t="s">
        <v>1368</v>
      </c>
      <c r="J1048" s="15">
        <v>41926</v>
      </c>
      <c r="K1048" s="3"/>
    </row>
    <row r="1049" spans="1:11" x14ac:dyDescent="0.25">
      <c r="A1049" s="10">
        <v>1175</v>
      </c>
      <c r="B1049" s="4" t="s">
        <v>221</v>
      </c>
      <c r="C1049" s="24" t="s">
        <v>1412</v>
      </c>
      <c r="D1049" s="37" t="s">
        <v>1404</v>
      </c>
      <c r="E1049" s="10"/>
      <c r="F1049" s="60" t="s">
        <v>623</v>
      </c>
      <c r="G1049" s="37" t="s">
        <v>1271</v>
      </c>
      <c r="H1049" s="75">
        <v>41913</v>
      </c>
      <c r="I1049" s="10" t="s">
        <v>1368</v>
      </c>
      <c r="J1049" s="15">
        <v>41926</v>
      </c>
      <c r="K1049" s="3"/>
    </row>
    <row r="1050" spans="1:11" x14ac:dyDescent="0.25">
      <c r="A1050" s="10">
        <v>1176</v>
      </c>
      <c r="B1050" s="33" t="s">
        <v>221</v>
      </c>
      <c r="C1050" s="45" t="s">
        <v>1405</v>
      </c>
      <c r="D1050" s="10">
        <v>8335</v>
      </c>
      <c r="E1050" s="10"/>
      <c r="F1050" s="60" t="s">
        <v>623</v>
      </c>
      <c r="G1050" s="37" t="s">
        <v>1368</v>
      </c>
      <c r="H1050" s="75">
        <v>41913</v>
      </c>
      <c r="I1050" s="37" t="s">
        <v>1181</v>
      </c>
      <c r="J1050" s="15">
        <v>41914</v>
      </c>
      <c r="K1050" s="3"/>
    </row>
    <row r="1051" spans="1:11" x14ac:dyDescent="0.25">
      <c r="A1051" s="10">
        <v>1177</v>
      </c>
      <c r="B1051" s="33" t="s">
        <v>221</v>
      </c>
      <c r="C1051" s="45" t="s">
        <v>1406</v>
      </c>
      <c r="D1051" s="10">
        <v>8334</v>
      </c>
      <c r="E1051" s="10"/>
      <c r="F1051" s="60" t="s">
        <v>623</v>
      </c>
      <c r="G1051" s="37" t="s">
        <v>1368</v>
      </c>
      <c r="H1051" s="75">
        <v>41913</v>
      </c>
      <c r="I1051" s="37" t="s">
        <v>1181</v>
      </c>
      <c r="J1051" s="15">
        <v>41914</v>
      </c>
      <c r="K1051" s="3"/>
    </row>
    <row r="1052" spans="1:11" s="55" customFormat="1" ht="25" x14ac:dyDescent="0.25">
      <c r="A1052" s="10">
        <v>1178</v>
      </c>
      <c r="B1052" s="37" t="s">
        <v>1507</v>
      </c>
      <c r="C1052" s="61" t="s">
        <v>1508</v>
      </c>
      <c r="D1052" s="10">
        <v>8334</v>
      </c>
      <c r="E1052" s="10"/>
      <c r="F1052" s="60" t="s">
        <v>977</v>
      </c>
      <c r="G1052" s="37" t="s">
        <v>1181</v>
      </c>
      <c r="H1052" s="75">
        <v>41913</v>
      </c>
      <c r="I1052" s="59" t="s">
        <v>1267</v>
      </c>
      <c r="J1052" s="59" t="s">
        <v>1267</v>
      </c>
      <c r="K1052" s="54"/>
    </row>
    <row r="1053" spans="1:11" s="55" customFormat="1" ht="25" x14ac:dyDescent="0.25">
      <c r="A1053" s="10">
        <v>1179</v>
      </c>
      <c r="B1053" s="37" t="s">
        <v>1507</v>
      </c>
      <c r="C1053" s="61" t="s">
        <v>1509</v>
      </c>
      <c r="D1053" s="10">
        <v>8335</v>
      </c>
      <c r="E1053" s="10"/>
      <c r="F1053" s="60" t="s">
        <v>977</v>
      </c>
      <c r="G1053" s="37" t="s">
        <v>1181</v>
      </c>
      <c r="H1053" s="75">
        <v>41913</v>
      </c>
      <c r="I1053" s="59" t="s">
        <v>1267</v>
      </c>
      <c r="J1053" s="59" t="s">
        <v>1267</v>
      </c>
      <c r="K1053" s="54"/>
    </row>
    <row r="1054" spans="1:11" s="55" customFormat="1" ht="25" x14ac:dyDescent="0.25">
      <c r="A1054" s="10">
        <v>1180</v>
      </c>
      <c r="B1054" s="37" t="s">
        <v>257</v>
      </c>
      <c r="C1054" s="61" t="s">
        <v>1407</v>
      </c>
      <c r="D1054" s="10">
        <v>8325</v>
      </c>
      <c r="E1054" s="10"/>
      <c r="F1054" s="60" t="s">
        <v>977</v>
      </c>
      <c r="G1054" s="37" t="s">
        <v>1271</v>
      </c>
      <c r="H1054" s="75">
        <v>41873</v>
      </c>
      <c r="I1054" s="37" t="s">
        <v>1288</v>
      </c>
      <c r="J1054" s="15">
        <v>41891</v>
      </c>
      <c r="K1054" s="54"/>
    </row>
    <row r="1055" spans="1:11" x14ac:dyDescent="0.25">
      <c r="A1055" s="10">
        <v>1181</v>
      </c>
      <c r="B1055" s="37" t="s">
        <v>257</v>
      </c>
      <c r="C1055" s="45" t="s">
        <v>1408</v>
      </c>
      <c r="D1055" s="10">
        <v>8424</v>
      </c>
      <c r="E1055" s="10"/>
      <c r="F1055" s="60" t="s">
        <v>27</v>
      </c>
      <c r="G1055" s="37" t="s">
        <v>1271</v>
      </c>
      <c r="H1055" s="75">
        <v>41914</v>
      </c>
      <c r="I1055" s="37" t="s">
        <v>1204</v>
      </c>
      <c r="J1055" s="15">
        <v>41919</v>
      </c>
      <c r="K1055" s="3"/>
    </row>
    <row r="1056" spans="1:11" x14ac:dyDescent="0.25">
      <c r="A1056" s="10">
        <v>1182</v>
      </c>
      <c r="B1056" s="37" t="s">
        <v>257</v>
      </c>
      <c r="C1056" s="45" t="s">
        <v>1409</v>
      </c>
      <c r="D1056" s="10">
        <v>8424</v>
      </c>
      <c r="E1056" s="10"/>
      <c r="F1056" s="60" t="s">
        <v>27</v>
      </c>
      <c r="G1056" s="37" t="s">
        <v>1271</v>
      </c>
      <c r="H1056" s="75">
        <v>41914</v>
      </c>
      <c r="I1056" s="37" t="s">
        <v>1204</v>
      </c>
      <c r="J1056" s="15">
        <v>41919</v>
      </c>
      <c r="K1056" s="3"/>
    </row>
    <row r="1057" spans="1:11" x14ac:dyDescent="0.25">
      <c r="A1057" s="10">
        <v>1183</v>
      </c>
      <c r="B1057" s="33" t="s">
        <v>221</v>
      </c>
      <c r="C1057" s="45" t="s">
        <v>1410</v>
      </c>
      <c r="D1057" s="10">
        <v>8423</v>
      </c>
      <c r="E1057" s="10"/>
      <c r="F1057" s="60" t="s">
        <v>108</v>
      </c>
      <c r="G1057" s="37" t="s">
        <v>1204</v>
      </c>
      <c r="H1057" s="75">
        <v>41925</v>
      </c>
      <c r="I1057" s="37" t="s">
        <v>1204</v>
      </c>
      <c r="J1057" s="15">
        <v>41927</v>
      </c>
      <c r="K1057" s="3"/>
    </row>
    <row r="1058" spans="1:11" x14ac:dyDescent="0.25">
      <c r="A1058" s="10">
        <v>1184</v>
      </c>
      <c r="B1058" s="4" t="s">
        <v>221</v>
      </c>
      <c r="C1058" s="24" t="s">
        <v>1413</v>
      </c>
      <c r="D1058" s="10" t="s">
        <v>1419</v>
      </c>
      <c r="E1058" s="10"/>
      <c r="F1058" s="64" t="s">
        <v>623</v>
      </c>
      <c r="G1058" s="10" t="s">
        <v>1368</v>
      </c>
      <c r="H1058" s="75">
        <v>41934</v>
      </c>
      <c r="I1058" s="10" t="s">
        <v>1368</v>
      </c>
      <c r="J1058" s="15">
        <v>41934</v>
      </c>
      <c r="K1058" s="3"/>
    </row>
    <row r="1059" spans="1:11" s="118" customFormat="1" x14ac:dyDescent="0.25">
      <c r="A1059" s="59">
        <v>1185</v>
      </c>
      <c r="B1059" s="57" t="s">
        <v>257</v>
      </c>
      <c r="C1059" s="56" t="s">
        <v>8</v>
      </c>
      <c r="D1059" s="59" t="s">
        <v>8</v>
      </c>
      <c r="E1059" s="59"/>
      <c r="F1059" s="90" t="s">
        <v>977</v>
      </c>
      <c r="G1059" s="59" t="s">
        <v>1288</v>
      </c>
      <c r="H1059" s="109">
        <v>41940</v>
      </c>
      <c r="I1059" s="59" t="s">
        <v>1267</v>
      </c>
      <c r="J1059" s="59" t="s">
        <v>1267</v>
      </c>
      <c r="K1059" s="104"/>
    </row>
    <row r="1060" spans="1:11" x14ac:dyDescent="0.25">
      <c r="A1060" s="10">
        <v>1186</v>
      </c>
      <c r="B1060" s="4" t="s">
        <v>221</v>
      </c>
      <c r="C1060" s="26" t="s">
        <v>1415</v>
      </c>
      <c r="D1060" s="10" t="s">
        <v>1414</v>
      </c>
      <c r="E1060" s="10"/>
      <c r="F1060" s="64" t="s">
        <v>51</v>
      </c>
      <c r="G1060" s="10" t="s">
        <v>1368</v>
      </c>
      <c r="H1060" s="75">
        <v>41941</v>
      </c>
      <c r="I1060" s="10" t="s">
        <v>1368</v>
      </c>
      <c r="J1060" s="15">
        <v>41942</v>
      </c>
      <c r="K1060" s="3"/>
    </row>
    <row r="1061" spans="1:11" x14ac:dyDescent="0.25">
      <c r="A1061" s="10">
        <v>1187</v>
      </c>
      <c r="B1061" s="4" t="s">
        <v>221</v>
      </c>
      <c r="C1061" s="26" t="s">
        <v>1416</v>
      </c>
      <c r="D1061" s="10" t="s">
        <v>1414</v>
      </c>
      <c r="E1061" s="10"/>
      <c r="F1061" s="64" t="s">
        <v>51</v>
      </c>
      <c r="G1061" s="10" t="s">
        <v>1368</v>
      </c>
      <c r="H1061" s="75">
        <v>41941</v>
      </c>
      <c r="I1061" s="10" t="s">
        <v>1368</v>
      </c>
      <c r="J1061" s="15">
        <v>41942</v>
      </c>
      <c r="K1061" s="3"/>
    </row>
    <row r="1062" spans="1:11" x14ac:dyDescent="0.25">
      <c r="A1062" s="10">
        <v>1188</v>
      </c>
      <c r="B1062" s="4" t="s">
        <v>221</v>
      </c>
      <c r="C1062" s="26" t="s">
        <v>1417</v>
      </c>
      <c r="D1062" s="10" t="s">
        <v>1414</v>
      </c>
      <c r="E1062" s="10"/>
      <c r="F1062" s="64" t="s">
        <v>51</v>
      </c>
      <c r="G1062" s="10" t="s">
        <v>1368</v>
      </c>
      <c r="H1062" s="75">
        <v>41941</v>
      </c>
      <c r="I1062" s="10" t="s">
        <v>1368</v>
      </c>
      <c r="J1062" s="15">
        <v>41942</v>
      </c>
      <c r="K1062" s="3"/>
    </row>
    <row r="1063" spans="1:11" x14ac:dyDescent="0.25">
      <c r="A1063" s="10">
        <v>1189</v>
      </c>
      <c r="B1063" s="4" t="s">
        <v>221</v>
      </c>
      <c r="C1063" s="26" t="s">
        <v>1418</v>
      </c>
      <c r="D1063" s="10" t="s">
        <v>1414</v>
      </c>
      <c r="E1063" s="10"/>
      <c r="F1063" s="64" t="s">
        <v>51</v>
      </c>
      <c r="G1063" s="10" t="s">
        <v>1368</v>
      </c>
      <c r="H1063" s="75">
        <v>41941</v>
      </c>
      <c r="I1063" s="10" t="s">
        <v>1368</v>
      </c>
      <c r="J1063" s="15">
        <v>41942</v>
      </c>
      <c r="K1063" s="3"/>
    </row>
    <row r="1064" spans="1:11" x14ac:dyDescent="0.25">
      <c r="A1064" s="10">
        <v>1190</v>
      </c>
      <c r="B1064" s="4" t="s">
        <v>257</v>
      </c>
      <c r="C1064" s="24" t="s">
        <v>1420</v>
      </c>
      <c r="D1064" s="10" t="s">
        <v>1379</v>
      </c>
      <c r="E1064" s="10"/>
      <c r="F1064" s="64" t="s">
        <v>27</v>
      </c>
      <c r="G1064" s="10" t="s">
        <v>1368</v>
      </c>
      <c r="H1064" s="75">
        <v>41948</v>
      </c>
      <c r="I1064" s="10" t="s">
        <v>1368</v>
      </c>
      <c r="J1064" s="75">
        <v>41948</v>
      </c>
      <c r="K1064" s="3"/>
    </row>
    <row r="1065" spans="1:11" x14ac:dyDescent="0.25">
      <c r="A1065" s="10">
        <v>1191</v>
      </c>
      <c r="B1065" s="4" t="s">
        <v>257</v>
      </c>
      <c r="C1065" s="24" t="s">
        <v>1421</v>
      </c>
      <c r="D1065" s="10">
        <v>8432</v>
      </c>
      <c r="E1065" s="10"/>
      <c r="F1065" s="64" t="s">
        <v>27</v>
      </c>
      <c r="G1065" s="10" t="s">
        <v>1368</v>
      </c>
      <c r="H1065" s="75">
        <v>41948</v>
      </c>
      <c r="I1065" s="10" t="s">
        <v>1368</v>
      </c>
      <c r="J1065" s="75">
        <v>41948</v>
      </c>
      <c r="K1065" s="3"/>
    </row>
    <row r="1066" spans="1:11" x14ac:dyDescent="0.25">
      <c r="A1066" s="59">
        <v>1192</v>
      </c>
      <c r="B1066" s="57" t="s">
        <v>221</v>
      </c>
      <c r="C1066" s="56" t="s">
        <v>1423</v>
      </c>
      <c r="D1066" s="59"/>
      <c r="E1066" s="59"/>
      <c r="F1066" s="90" t="s">
        <v>623</v>
      </c>
      <c r="G1066" s="59" t="s">
        <v>1201</v>
      </c>
      <c r="H1066" s="109">
        <v>41953</v>
      </c>
      <c r="I1066" s="59" t="s">
        <v>1368</v>
      </c>
      <c r="J1066" s="107">
        <v>41954</v>
      </c>
      <c r="K1066" s="104" t="s">
        <v>1401</v>
      </c>
    </row>
    <row r="1067" spans="1:11" x14ac:dyDescent="0.25">
      <c r="A1067" s="10">
        <v>1193</v>
      </c>
      <c r="B1067" s="4" t="s">
        <v>221</v>
      </c>
      <c r="C1067" s="24" t="s">
        <v>1422</v>
      </c>
      <c r="D1067" s="10">
        <v>8427</v>
      </c>
      <c r="E1067" s="10"/>
      <c r="F1067" s="64" t="s">
        <v>623</v>
      </c>
      <c r="G1067" s="10" t="s">
        <v>1201</v>
      </c>
      <c r="H1067" s="75">
        <v>41953</v>
      </c>
      <c r="I1067" s="10" t="s">
        <v>1368</v>
      </c>
      <c r="J1067" s="15">
        <v>41954</v>
      </c>
      <c r="K1067" s="3"/>
    </row>
    <row r="1068" spans="1:11" x14ac:dyDescent="0.25">
      <c r="A1068" s="59">
        <v>1194</v>
      </c>
      <c r="B1068" s="57" t="s">
        <v>221</v>
      </c>
      <c r="C1068" s="56" t="s">
        <v>1424</v>
      </c>
      <c r="D1068" s="59"/>
      <c r="E1068" s="59"/>
      <c r="F1068" s="90" t="s">
        <v>623</v>
      </c>
      <c r="G1068" s="59" t="s">
        <v>1201</v>
      </c>
      <c r="H1068" s="109">
        <v>41953</v>
      </c>
      <c r="I1068" s="59" t="s">
        <v>1368</v>
      </c>
      <c r="J1068" s="107">
        <v>41954</v>
      </c>
      <c r="K1068" s="104" t="s">
        <v>1401</v>
      </c>
    </row>
    <row r="1069" spans="1:11" x14ac:dyDescent="0.25">
      <c r="A1069" s="10">
        <v>1195</v>
      </c>
      <c r="B1069" s="4" t="s">
        <v>221</v>
      </c>
      <c r="C1069" s="24" t="s">
        <v>1425</v>
      </c>
      <c r="D1069" s="10">
        <v>8427</v>
      </c>
      <c r="E1069" s="10"/>
      <c r="F1069" s="64" t="s">
        <v>623</v>
      </c>
      <c r="G1069" s="10" t="s">
        <v>1201</v>
      </c>
      <c r="H1069" s="75">
        <v>41953</v>
      </c>
      <c r="I1069" s="10" t="s">
        <v>1368</v>
      </c>
      <c r="J1069" s="15">
        <v>41954</v>
      </c>
      <c r="K1069" s="3"/>
    </row>
    <row r="1070" spans="1:11" x14ac:dyDescent="0.25">
      <c r="A1070" s="10">
        <v>1196</v>
      </c>
      <c r="B1070" s="4" t="s">
        <v>257</v>
      </c>
      <c r="C1070" s="24" t="s">
        <v>1432</v>
      </c>
      <c r="D1070" s="10">
        <v>8439</v>
      </c>
      <c r="E1070" s="10"/>
      <c r="F1070" s="64" t="s">
        <v>27</v>
      </c>
      <c r="G1070" s="10" t="s">
        <v>1368</v>
      </c>
      <c r="H1070" s="75">
        <v>41962</v>
      </c>
      <c r="I1070" s="10" t="s">
        <v>1368</v>
      </c>
      <c r="J1070" s="15">
        <v>41962</v>
      </c>
      <c r="K1070" s="3"/>
    </row>
    <row r="1071" spans="1:11" x14ac:dyDescent="0.25">
      <c r="A1071" s="10">
        <v>1197</v>
      </c>
      <c r="B1071" s="4" t="s">
        <v>221</v>
      </c>
      <c r="C1071" s="24" t="s">
        <v>1440</v>
      </c>
      <c r="D1071" s="10">
        <v>8427</v>
      </c>
      <c r="E1071" s="10"/>
      <c r="F1071" s="64" t="s">
        <v>623</v>
      </c>
      <c r="G1071" s="10" t="s">
        <v>1434</v>
      </c>
      <c r="H1071" s="75">
        <v>41968</v>
      </c>
      <c r="I1071" s="10" t="s">
        <v>1204</v>
      </c>
      <c r="J1071" s="15">
        <v>41983</v>
      </c>
      <c r="K1071" s="3"/>
    </row>
    <row r="1072" spans="1:11" x14ac:dyDescent="0.25">
      <c r="A1072" s="10">
        <v>1198</v>
      </c>
      <c r="B1072" s="4" t="s">
        <v>221</v>
      </c>
      <c r="C1072" s="45" t="s">
        <v>1478</v>
      </c>
      <c r="D1072" s="10">
        <v>8428</v>
      </c>
      <c r="E1072" s="10"/>
      <c r="F1072" s="64" t="s">
        <v>623</v>
      </c>
      <c r="G1072" s="10" t="s">
        <v>1434</v>
      </c>
      <c r="H1072" s="75">
        <v>41968</v>
      </c>
      <c r="I1072" s="37" t="s">
        <v>1288</v>
      </c>
      <c r="J1072" s="15">
        <v>42081</v>
      </c>
      <c r="K1072" s="3"/>
    </row>
    <row r="1073" spans="1:11" x14ac:dyDescent="0.25">
      <c r="A1073" s="10">
        <v>1199</v>
      </c>
      <c r="B1073" s="4" t="s">
        <v>221</v>
      </c>
      <c r="C1073" s="45" t="s">
        <v>1479</v>
      </c>
      <c r="D1073" s="10">
        <v>8428</v>
      </c>
      <c r="E1073" s="10"/>
      <c r="F1073" s="64" t="s">
        <v>623</v>
      </c>
      <c r="G1073" s="10" t="s">
        <v>1434</v>
      </c>
      <c r="H1073" s="75">
        <v>41968</v>
      </c>
      <c r="I1073" s="37" t="s">
        <v>1288</v>
      </c>
      <c r="J1073" s="15">
        <v>42081</v>
      </c>
      <c r="K1073" s="3"/>
    </row>
    <row r="1074" spans="1:11" x14ac:dyDescent="0.25">
      <c r="A1074" s="10">
        <v>1200</v>
      </c>
      <c r="B1074" s="4" t="s">
        <v>221</v>
      </c>
      <c r="C1074" s="45" t="s">
        <v>1480</v>
      </c>
      <c r="D1074" s="10">
        <v>8428</v>
      </c>
      <c r="E1074" s="10"/>
      <c r="F1074" s="64" t="s">
        <v>623</v>
      </c>
      <c r="G1074" s="10" t="s">
        <v>1434</v>
      </c>
      <c r="H1074" s="75">
        <v>41968</v>
      </c>
      <c r="I1074" s="10" t="s">
        <v>1368</v>
      </c>
      <c r="J1074" s="15">
        <v>41989</v>
      </c>
      <c r="K1074" s="3"/>
    </row>
    <row r="1075" spans="1:11" x14ac:dyDescent="0.25">
      <c r="A1075" s="10">
        <v>1201</v>
      </c>
      <c r="B1075" s="4" t="s">
        <v>221</v>
      </c>
      <c r="C1075" s="45" t="s">
        <v>1441</v>
      </c>
      <c r="D1075" s="10" t="s">
        <v>1435</v>
      </c>
      <c r="E1075" s="10"/>
      <c r="F1075" s="64" t="s">
        <v>623</v>
      </c>
      <c r="G1075" s="10" t="s">
        <v>1368</v>
      </c>
      <c r="H1075" s="75">
        <v>41970</v>
      </c>
      <c r="I1075" s="10" t="s">
        <v>1368</v>
      </c>
      <c r="J1075" s="15">
        <v>41970</v>
      </c>
      <c r="K1075" s="3"/>
    </row>
    <row r="1076" spans="1:11" ht="25" x14ac:dyDescent="0.25">
      <c r="A1076" s="10">
        <v>1202</v>
      </c>
      <c r="B1076" s="10" t="s">
        <v>257</v>
      </c>
      <c r="C1076" s="80" t="s">
        <v>1442</v>
      </c>
      <c r="D1076" s="10">
        <v>8427</v>
      </c>
      <c r="E1076" s="10"/>
      <c r="F1076" s="64" t="s">
        <v>168</v>
      </c>
      <c r="G1076" s="10" t="s">
        <v>1434</v>
      </c>
      <c r="H1076" s="75">
        <v>41968</v>
      </c>
      <c r="I1076" s="37" t="s">
        <v>1204</v>
      </c>
      <c r="J1076" s="15">
        <v>41983</v>
      </c>
      <c r="K1076" s="3"/>
    </row>
    <row r="1077" spans="1:11" ht="25" x14ac:dyDescent="0.25">
      <c r="A1077" s="10">
        <v>1203</v>
      </c>
      <c r="B1077" s="10" t="s">
        <v>257</v>
      </c>
      <c r="C1077" s="103" t="s">
        <v>1436</v>
      </c>
      <c r="D1077" s="10">
        <v>8427</v>
      </c>
      <c r="E1077" s="10"/>
      <c r="F1077" s="64" t="s">
        <v>168</v>
      </c>
      <c r="G1077" s="10" t="s">
        <v>1434</v>
      </c>
      <c r="H1077" s="75">
        <v>41968</v>
      </c>
      <c r="I1077" s="37" t="s">
        <v>1204</v>
      </c>
      <c r="J1077" s="15">
        <v>41983</v>
      </c>
      <c r="K1077" s="3"/>
    </row>
    <row r="1078" spans="1:11" ht="25" x14ac:dyDescent="0.25">
      <c r="A1078" s="10">
        <v>1204</v>
      </c>
      <c r="B1078" s="4" t="s">
        <v>257</v>
      </c>
      <c r="C1078" s="80" t="s">
        <v>1481</v>
      </c>
      <c r="D1078" s="10">
        <v>8428</v>
      </c>
      <c r="E1078" s="10"/>
      <c r="F1078" s="64" t="s">
        <v>168</v>
      </c>
      <c r="G1078" s="10" t="s">
        <v>1434</v>
      </c>
      <c r="H1078" s="75">
        <v>41968</v>
      </c>
      <c r="I1078" s="37" t="s">
        <v>1288</v>
      </c>
      <c r="J1078" s="15">
        <v>42081</v>
      </c>
      <c r="K1078" s="3"/>
    </row>
    <row r="1079" spans="1:11" ht="25" x14ac:dyDescent="0.25">
      <c r="A1079" s="10">
        <v>1205</v>
      </c>
      <c r="B1079" s="10" t="s">
        <v>257</v>
      </c>
      <c r="C1079" s="80" t="s">
        <v>1482</v>
      </c>
      <c r="D1079" s="10">
        <v>8428</v>
      </c>
      <c r="E1079" s="10"/>
      <c r="F1079" s="64" t="s">
        <v>168</v>
      </c>
      <c r="G1079" s="10" t="s">
        <v>1434</v>
      </c>
      <c r="H1079" s="75">
        <v>41968</v>
      </c>
      <c r="I1079" s="37" t="s">
        <v>1288</v>
      </c>
      <c r="J1079" s="15">
        <v>42081</v>
      </c>
      <c r="K1079" s="3"/>
    </row>
    <row r="1080" spans="1:11" s="55" customFormat="1" ht="25" x14ac:dyDescent="0.25">
      <c r="A1080" s="10">
        <v>1206</v>
      </c>
      <c r="B1080" s="10" t="s">
        <v>257</v>
      </c>
      <c r="C1080" s="65" t="s">
        <v>1433</v>
      </c>
      <c r="D1080" s="10" t="s">
        <v>1435</v>
      </c>
      <c r="E1080" s="10"/>
      <c r="F1080" s="64" t="s">
        <v>976</v>
      </c>
      <c r="G1080" s="10" t="s">
        <v>1368</v>
      </c>
      <c r="H1080" s="75">
        <v>41971</v>
      </c>
      <c r="I1080" s="10" t="s">
        <v>1368</v>
      </c>
      <c r="J1080" s="15">
        <v>41971</v>
      </c>
      <c r="K1080" s="54"/>
    </row>
    <row r="1081" spans="1:11" x14ac:dyDescent="0.25">
      <c r="A1081" s="10">
        <v>1207</v>
      </c>
      <c r="B1081" s="33" t="s">
        <v>221</v>
      </c>
      <c r="C1081" s="45" t="s">
        <v>1445</v>
      </c>
      <c r="D1081" s="10">
        <v>8424</v>
      </c>
      <c r="E1081" s="10"/>
      <c r="F1081" s="60" t="s">
        <v>52</v>
      </c>
      <c r="G1081" s="37" t="s">
        <v>1434</v>
      </c>
      <c r="H1081" s="100">
        <v>41975</v>
      </c>
      <c r="I1081" s="37" t="s">
        <v>1368</v>
      </c>
      <c r="J1081" s="75">
        <v>41976</v>
      </c>
      <c r="K1081" s="3"/>
    </row>
    <row r="1082" spans="1:11" x14ac:dyDescent="0.25">
      <c r="A1082" s="10">
        <v>1208</v>
      </c>
      <c r="B1082" s="33" t="s">
        <v>221</v>
      </c>
      <c r="C1082" s="45" t="s">
        <v>1444</v>
      </c>
      <c r="D1082" s="10">
        <v>8424</v>
      </c>
      <c r="E1082" s="10"/>
      <c r="F1082" s="60" t="s">
        <v>52</v>
      </c>
      <c r="G1082" s="37" t="s">
        <v>1434</v>
      </c>
      <c r="H1082" s="75">
        <v>41975</v>
      </c>
      <c r="I1082" s="37" t="s">
        <v>1368</v>
      </c>
      <c r="J1082" s="75">
        <v>41976</v>
      </c>
      <c r="K1082" s="3"/>
    </row>
    <row r="1083" spans="1:11" x14ac:dyDescent="0.25">
      <c r="A1083" s="10">
        <v>1209</v>
      </c>
      <c r="B1083" s="33" t="s">
        <v>221</v>
      </c>
      <c r="C1083" s="45" t="s">
        <v>1443</v>
      </c>
      <c r="D1083" s="10">
        <v>8424</v>
      </c>
      <c r="E1083" s="10"/>
      <c r="F1083" s="60" t="s">
        <v>52</v>
      </c>
      <c r="G1083" s="37" t="s">
        <v>1434</v>
      </c>
      <c r="H1083" s="75">
        <v>41975</v>
      </c>
      <c r="I1083" s="37" t="s">
        <v>1368</v>
      </c>
      <c r="J1083" s="75">
        <v>41976</v>
      </c>
      <c r="K1083" s="3"/>
    </row>
    <row r="1084" spans="1:11" x14ac:dyDescent="0.25">
      <c r="A1084" s="10">
        <v>1210</v>
      </c>
      <c r="B1084" s="33" t="s">
        <v>221</v>
      </c>
      <c r="C1084" s="45" t="s">
        <v>1446</v>
      </c>
      <c r="D1084" s="10">
        <v>8424</v>
      </c>
      <c r="E1084" s="10"/>
      <c r="F1084" s="60" t="s">
        <v>52</v>
      </c>
      <c r="G1084" s="37" t="s">
        <v>1434</v>
      </c>
      <c r="H1084" s="75">
        <v>41981</v>
      </c>
      <c r="I1084" s="37" t="s">
        <v>1368</v>
      </c>
      <c r="J1084" s="15">
        <v>41982</v>
      </c>
      <c r="K1084" s="3"/>
    </row>
    <row r="1085" spans="1:11" x14ac:dyDescent="0.25">
      <c r="A1085" s="10">
        <v>1211</v>
      </c>
      <c r="B1085" s="33" t="s">
        <v>221</v>
      </c>
      <c r="C1085" s="45" t="s">
        <v>1447</v>
      </c>
      <c r="D1085" s="10">
        <v>8424</v>
      </c>
      <c r="E1085" s="10"/>
      <c r="F1085" s="60" t="s">
        <v>52</v>
      </c>
      <c r="G1085" s="37" t="s">
        <v>1434</v>
      </c>
      <c r="H1085" s="75">
        <v>41981</v>
      </c>
      <c r="I1085" s="37" t="s">
        <v>1368</v>
      </c>
      <c r="J1085" s="15">
        <v>41982</v>
      </c>
      <c r="K1085" s="3"/>
    </row>
    <row r="1086" spans="1:11" x14ac:dyDescent="0.25">
      <c r="A1086" s="10">
        <v>1212</v>
      </c>
      <c r="B1086" s="33" t="s">
        <v>221</v>
      </c>
      <c r="C1086" s="45" t="s">
        <v>1448</v>
      </c>
      <c r="D1086" s="10">
        <v>8424</v>
      </c>
      <c r="E1086" s="10"/>
      <c r="F1086" s="60" t="s">
        <v>52</v>
      </c>
      <c r="G1086" s="37" t="s">
        <v>1434</v>
      </c>
      <c r="H1086" s="75">
        <v>41981</v>
      </c>
      <c r="I1086" s="37" t="s">
        <v>1368</v>
      </c>
      <c r="J1086" s="15">
        <v>41982</v>
      </c>
      <c r="K1086" s="3"/>
    </row>
    <row r="1087" spans="1:11" x14ac:dyDescent="0.25">
      <c r="A1087" s="10">
        <v>1213</v>
      </c>
      <c r="B1087" s="33" t="s">
        <v>221</v>
      </c>
      <c r="C1087" s="45" t="s">
        <v>1449</v>
      </c>
      <c r="D1087" s="10">
        <v>8318</v>
      </c>
      <c r="E1087" s="10"/>
      <c r="F1087" s="60" t="s">
        <v>623</v>
      </c>
      <c r="G1087" s="59" t="s">
        <v>1267</v>
      </c>
      <c r="H1087" s="75">
        <v>41984</v>
      </c>
      <c r="I1087" s="37" t="s">
        <v>1368</v>
      </c>
      <c r="J1087" s="15">
        <v>41989</v>
      </c>
      <c r="K1087" s="3"/>
    </row>
    <row r="1088" spans="1:11" x14ac:dyDescent="0.25">
      <c r="A1088" s="10">
        <v>1214</v>
      </c>
      <c r="B1088" s="33" t="s">
        <v>221</v>
      </c>
      <c r="C1088" s="45" t="s">
        <v>1450</v>
      </c>
      <c r="D1088" s="10">
        <v>8318</v>
      </c>
      <c r="E1088" s="10"/>
      <c r="F1088" s="60" t="s">
        <v>623</v>
      </c>
      <c r="G1088" s="59" t="s">
        <v>1267</v>
      </c>
      <c r="H1088" s="99" t="s">
        <v>1267</v>
      </c>
      <c r="I1088" s="37" t="s">
        <v>1368</v>
      </c>
      <c r="J1088" s="15">
        <v>41989</v>
      </c>
      <c r="K1088" s="3"/>
    </row>
    <row r="1089" spans="1:11" x14ac:dyDescent="0.25">
      <c r="A1089" s="10">
        <v>1215</v>
      </c>
      <c r="B1089" s="33" t="s">
        <v>221</v>
      </c>
      <c r="C1089" s="45" t="s">
        <v>1451</v>
      </c>
      <c r="D1089" s="10">
        <v>8318</v>
      </c>
      <c r="E1089" s="10"/>
      <c r="F1089" s="60" t="s">
        <v>623</v>
      </c>
      <c r="G1089" s="59" t="s">
        <v>1267</v>
      </c>
      <c r="H1089" s="99" t="s">
        <v>1267</v>
      </c>
      <c r="I1089" s="37" t="s">
        <v>1368</v>
      </c>
      <c r="J1089" s="15">
        <v>41989</v>
      </c>
      <c r="K1089" s="3"/>
    </row>
    <row r="1090" spans="1:11" x14ac:dyDescent="0.25">
      <c r="A1090" s="10">
        <v>1216</v>
      </c>
      <c r="B1090" s="33" t="s">
        <v>221</v>
      </c>
      <c r="C1090" s="45" t="s">
        <v>1452</v>
      </c>
      <c r="D1090" s="10">
        <v>8318</v>
      </c>
      <c r="E1090" s="10"/>
      <c r="F1090" s="60" t="s">
        <v>623</v>
      </c>
      <c r="G1090" s="59" t="s">
        <v>1267</v>
      </c>
      <c r="H1090" s="99" t="s">
        <v>1267</v>
      </c>
      <c r="I1090" s="37" t="s">
        <v>1368</v>
      </c>
      <c r="J1090" s="15">
        <v>41989</v>
      </c>
      <c r="K1090" s="3"/>
    </row>
    <row r="1091" spans="1:11" x14ac:dyDescent="0.25">
      <c r="A1091" s="10">
        <v>1217</v>
      </c>
      <c r="B1091" s="33" t="s">
        <v>221</v>
      </c>
      <c r="C1091" s="45" t="s">
        <v>1453</v>
      </c>
      <c r="D1091" s="10">
        <v>8318</v>
      </c>
      <c r="E1091" s="10"/>
      <c r="F1091" s="60" t="s">
        <v>623</v>
      </c>
      <c r="G1091" s="59" t="s">
        <v>1267</v>
      </c>
      <c r="H1091" s="99" t="s">
        <v>1267</v>
      </c>
      <c r="I1091" s="37" t="s">
        <v>1368</v>
      </c>
      <c r="J1091" s="15">
        <v>41989</v>
      </c>
      <c r="K1091" s="3"/>
    </row>
    <row r="1092" spans="1:11" x14ac:dyDescent="0.25">
      <c r="A1092" s="10">
        <v>1218</v>
      </c>
      <c r="B1092" s="33" t="s">
        <v>221</v>
      </c>
      <c r="C1092" s="45" t="s">
        <v>1454</v>
      </c>
      <c r="D1092" s="10">
        <v>8318</v>
      </c>
      <c r="E1092" s="10"/>
      <c r="F1092" s="60" t="s">
        <v>623</v>
      </c>
      <c r="G1092" s="59" t="s">
        <v>1267</v>
      </c>
      <c r="H1092" s="99" t="s">
        <v>1267</v>
      </c>
      <c r="I1092" s="37" t="s">
        <v>1368</v>
      </c>
      <c r="J1092" s="15">
        <v>41989</v>
      </c>
      <c r="K1092" s="3"/>
    </row>
    <row r="1093" spans="1:11" x14ac:dyDescent="0.25">
      <c r="A1093" s="10">
        <v>1219</v>
      </c>
      <c r="B1093" s="33" t="s">
        <v>221</v>
      </c>
      <c r="C1093" s="45" t="s">
        <v>1455</v>
      </c>
      <c r="D1093" s="10">
        <v>8318</v>
      </c>
      <c r="E1093" s="10"/>
      <c r="F1093" s="60" t="s">
        <v>623</v>
      </c>
      <c r="G1093" s="37" t="s">
        <v>1368</v>
      </c>
      <c r="H1093" s="99" t="s">
        <v>1267</v>
      </c>
      <c r="I1093" s="37" t="s">
        <v>1368</v>
      </c>
      <c r="J1093" s="15">
        <v>41989</v>
      </c>
      <c r="K1093" s="3"/>
    </row>
    <row r="1094" spans="1:11" x14ac:dyDescent="0.25">
      <c r="A1094" s="10">
        <v>1220</v>
      </c>
      <c r="B1094" s="33" t="s">
        <v>221</v>
      </c>
      <c r="C1094" s="45" t="s">
        <v>1456</v>
      </c>
      <c r="D1094" s="10">
        <v>8318</v>
      </c>
      <c r="E1094" s="10"/>
      <c r="F1094" s="60" t="s">
        <v>623</v>
      </c>
      <c r="G1094" s="59" t="s">
        <v>1267</v>
      </c>
      <c r="H1094" s="99" t="s">
        <v>1267</v>
      </c>
      <c r="I1094" s="37" t="s">
        <v>1181</v>
      </c>
      <c r="J1094" s="15">
        <v>42011</v>
      </c>
      <c r="K1094" s="3"/>
    </row>
    <row r="1095" spans="1:11" x14ac:dyDescent="0.25">
      <c r="A1095" s="10">
        <v>1221</v>
      </c>
      <c r="B1095" s="33" t="s">
        <v>221</v>
      </c>
      <c r="C1095" s="24" t="s">
        <v>1469</v>
      </c>
      <c r="D1095" s="10">
        <v>8351</v>
      </c>
      <c r="E1095" s="10"/>
      <c r="F1095" s="60" t="s">
        <v>52</v>
      </c>
      <c r="G1095" s="37" t="s">
        <v>1434</v>
      </c>
      <c r="H1095" s="75">
        <v>42013</v>
      </c>
      <c r="I1095" s="10" t="s">
        <v>1288</v>
      </c>
      <c r="J1095" s="15">
        <v>42032</v>
      </c>
      <c r="K1095" s="3"/>
    </row>
    <row r="1096" spans="1:11" x14ac:dyDescent="0.25">
      <c r="A1096" s="10">
        <v>1222</v>
      </c>
      <c r="B1096" s="33" t="s">
        <v>221</v>
      </c>
      <c r="C1096" s="24" t="s">
        <v>1470</v>
      </c>
      <c r="D1096" s="10">
        <v>8351</v>
      </c>
      <c r="E1096" s="10"/>
      <c r="F1096" s="60" t="s">
        <v>52</v>
      </c>
      <c r="G1096" s="37" t="s">
        <v>1434</v>
      </c>
      <c r="H1096" s="75">
        <v>42013</v>
      </c>
      <c r="I1096" s="10" t="s">
        <v>1288</v>
      </c>
      <c r="J1096" s="15">
        <v>42032</v>
      </c>
      <c r="K1096" s="3"/>
    </row>
    <row r="1097" spans="1:11" x14ac:dyDescent="0.25">
      <c r="A1097" s="10">
        <v>1223</v>
      </c>
      <c r="B1097" s="33" t="s">
        <v>221</v>
      </c>
      <c r="C1097" s="24" t="s">
        <v>1471</v>
      </c>
      <c r="D1097" s="10">
        <v>8351</v>
      </c>
      <c r="E1097" s="10"/>
      <c r="F1097" s="60" t="s">
        <v>52</v>
      </c>
      <c r="G1097" s="37" t="s">
        <v>1434</v>
      </c>
      <c r="H1097" s="75">
        <v>42013</v>
      </c>
      <c r="I1097" s="10" t="s">
        <v>1288</v>
      </c>
      <c r="J1097" s="15">
        <v>42032</v>
      </c>
      <c r="K1097" s="3"/>
    </row>
    <row r="1098" spans="1:11" x14ac:dyDescent="0.25">
      <c r="A1098" s="10">
        <v>1224</v>
      </c>
      <c r="B1098" s="4" t="s">
        <v>221</v>
      </c>
      <c r="C1098" s="24" t="s">
        <v>1437</v>
      </c>
      <c r="D1098" s="10">
        <v>8444</v>
      </c>
      <c r="E1098" s="10"/>
      <c r="F1098" s="64" t="s">
        <v>623</v>
      </c>
      <c r="G1098" s="37" t="s">
        <v>1434</v>
      </c>
      <c r="H1098" s="75">
        <v>42013</v>
      </c>
      <c r="I1098" s="10" t="s">
        <v>1368</v>
      </c>
      <c r="J1098" s="15">
        <v>42017</v>
      </c>
      <c r="K1098" s="3"/>
    </row>
    <row r="1099" spans="1:11" x14ac:dyDescent="0.25">
      <c r="A1099" s="10">
        <v>1225</v>
      </c>
      <c r="B1099" s="4" t="s">
        <v>221</v>
      </c>
      <c r="C1099" s="24" t="s">
        <v>1438</v>
      </c>
      <c r="D1099" s="10">
        <v>8444</v>
      </c>
      <c r="E1099" s="10"/>
      <c r="F1099" s="64" t="s">
        <v>623</v>
      </c>
      <c r="G1099" s="37" t="s">
        <v>1434</v>
      </c>
      <c r="H1099" s="75">
        <v>42013</v>
      </c>
      <c r="I1099" s="10" t="s">
        <v>1368</v>
      </c>
      <c r="J1099" s="15">
        <v>42017</v>
      </c>
      <c r="K1099" s="3"/>
    </row>
    <row r="1100" spans="1:11" x14ac:dyDescent="0.25">
      <c r="A1100" s="10">
        <v>1226</v>
      </c>
      <c r="B1100" s="4" t="s">
        <v>221</v>
      </c>
      <c r="C1100" s="24" t="s">
        <v>1439</v>
      </c>
      <c r="D1100" s="10">
        <v>8444</v>
      </c>
      <c r="E1100" s="10"/>
      <c r="F1100" s="64" t="s">
        <v>623</v>
      </c>
      <c r="G1100" s="37" t="s">
        <v>1434</v>
      </c>
      <c r="H1100" s="75">
        <v>42013</v>
      </c>
      <c r="I1100" s="10" t="s">
        <v>1368</v>
      </c>
      <c r="J1100" s="15">
        <v>42017</v>
      </c>
      <c r="K1100" s="3"/>
    </row>
    <row r="1101" spans="1:11" x14ac:dyDescent="0.25">
      <c r="A1101" s="10">
        <v>1227</v>
      </c>
      <c r="B1101" s="33" t="s">
        <v>257</v>
      </c>
      <c r="C1101" s="45" t="s">
        <v>1457</v>
      </c>
      <c r="D1101" s="37" t="s">
        <v>1458</v>
      </c>
      <c r="E1101" s="10"/>
      <c r="F1101" s="60" t="s">
        <v>27</v>
      </c>
      <c r="G1101" s="37" t="s">
        <v>1368</v>
      </c>
      <c r="H1101" s="75">
        <v>42020</v>
      </c>
      <c r="I1101" s="37" t="s">
        <v>1368</v>
      </c>
      <c r="J1101" s="15">
        <v>42020</v>
      </c>
      <c r="K1101" s="3"/>
    </row>
    <row r="1102" spans="1:11" x14ac:dyDescent="0.25">
      <c r="A1102" s="10">
        <v>1228</v>
      </c>
      <c r="B1102" s="4" t="s">
        <v>221</v>
      </c>
      <c r="C1102" s="45" t="s">
        <v>1521</v>
      </c>
      <c r="D1102" s="10">
        <v>8292</v>
      </c>
      <c r="E1102" s="10"/>
      <c r="F1102" s="60" t="s">
        <v>1459</v>
      </c>
      <c r="G1102" s="37" t="s">
        <v>1344</v>
      </c>
      <c r="H1102" s="75">
        <v>42024</v>
      </c>
      <c r="I1102" s="37" t="s">
        <v>1204</v>
      </c>
      <c r="J1102" s="15">
        <v>42054</v>
      </c>
      <c r="K1102" s="3"/>
    </row>
    <row r="1103" spans="1:11" x14ac:dyDescent="0.25">
      <c r="A1103" s="10">
        <v>1229</v>
      </c>
      <c r="B1103" s="4" t="s">
        <v>221</v>
      </c>
      <c r="C1103" s="45" t="s">
        <v>1483</v>
      </c>
      <c r="D1103" s="10">
        <v>8292</v>
      </c>
      <c r="E1103" s="10"/>
      <c r="F1103" s="60" t="s">
        <v>1459</v>
      </c>
      <c r="G1103" s="37" t="s">
        <v>1344</v>
      </c>
      <c r="H1103" s="75">
        <v>42024</v>
      </c>
      <c r="I1103" s="37" t="s">
        <v>1204</v>
      </c>
      <c r="J1103" s="15">
        <v>42038</v>
      </c>
      <c r="K1103" s="3"/>
    </row>
    <row r="1104" spans="1:11" x14ac:dyDescent="0.25">
      <c r="A1104" s="10">
        <v>1230</v>
      </c>
      <c r="B1104" s="4" t="s">
        <v>221</v>
      </c>
      <c r="C1104" s="45" t="s">
        <v>1484</v>
      </c>
      <c r="D1104" s="10">
        <v>8292</v>
      </c>
      <c r="E1104" s="10"/>
      <c r="F1104" s="60" t="s">
        <v>1459</v>
      </c>
      <c r="G1104" s="37" t="s">
        <v>1344</v>
      </c>
      <c r="H1104" s="75">
        <v>42024</v>
      </c>
      <c r="I1104" s="37" t="s">
        <v>1204</v>
      </c>
      <c r="J1104" s="15">
        <v>42038</v>
      </c>
      <c r="K1104" s="3"/>
    </row>
    <row r="1105" spans="1:11" x14ac:dyDescent="0.25">
      <c r="A1105" s="10">
        <v>1231</v>
      </c>
      <c r="B1105" s="33" t="s">
        <v>257</v>
      </c>
      <c r="C1105" s="45" t="s">
        <v>1463</v>
      </c>
      <c r="D1105" s="37" t="s">
        <v>1460</v>
      </c>
      <c r="E1105" s="10"/>
      <c r="F1105" s="60" t="s">
        <v>27</v>
      </c>
      <c r="G1105" s="10" t="s">
        <v>1179</v>
      </c>
      <c r="H1105" s="75">
        <v>42025</v>
      </c>
      <c r="I1105" s="10" t="s">
        <v>1368</v>
      </c>
      <c r="J1105" s="15">
        <v>42026</v>
      </c>
      <c r="K1105" s="3"/>
    </row>
    <row r="1106" spans="1:11" x14ac:dyDescent="0.25">
      <c r="A1106" s="10">
        <v>1232</v>
      </c>
      <c r="B1106" s="33" t="s">
        <v>221</v>
      </c>
      <c r="C1106" s="45" t="s">
        <v>1464</v>
      </c>
      <c r="D1106" s="37" t="s">
        <v>1461</v>
      </c>
      <c r="E1106" s="10"/>
      <c r="F1106" s="60" t="s">
        <v>52</v>
      </c>
      <c r="G1106" s="10" t="s">
        <v>1179</v>
      </c>
      <c r="H1106" s="75">
        <v>42025</v>
      </c>
      <c r="I1106" s="10" t="s">
        <v>1368</v>
      </c>
      <c r="J1106" s="15">
        <v>42026</v>
      </c>
      <c r="K1106" s="3"/>
    </row>
    <row r="1107" spans="1:11" x14ac:dyDescent="0.25">
      <c r="A1107" s="10">
        <v>1233</v>
      </c>
      <c r="B1107" s="33" t="s">
        <v>221</v>
      </c>
      <c r="C1107" s="45" t="s">
        <v>1462</v>
      </c>
      <c r="D1107" s="37" t="s">
        <v>1466</v>
      </c>
      <c r="E1107" s="10"/>
      <c r="F1107" s="60" t="s">
        <v>163</v>
      </c>
      <c r="G1107" s="10" t="s">
        <v>1179</v>
      </c>
      <c r="H1107" s="75">
        <v>42025</v>
      </c>
      <c r="I1107" s="10" t="s">
        <v>1368</v>
      </c>
      <c r="J1107" s="15">
        <v>42026</v>
      </c>
      <c r="K1107" s="3"/>
    </row>
    <row r="1108" spans="1:11" x14ac:dyDescent="0.25">
      <c r="A1108" s="10">
        <v>1234</v>
      </c>
      <c r="B1108" s="33" t="s">
        <v>221</v>
      </c>
      <c r="C1108" s="45" t="s">
        <v>1465</v>
      </c>
      <c r="D1108" s="37" t="s">
        <v>1466</v>
      </c>
      <c r="E1108" s="10"/>
      <c r="F1108" s="60" t="s">
        <v>163</v>
      </c>
      <c r="G1108" s="10" t="s">
        <v>1179</v>
      </c>
      <c r="H1108" s="75">
        <v>42025</v>
      </c>
      <c r="I1108" s="10" t="s">
        <v>1368</v>
      </c>
      <c r="J1108" s="15">
        <v>42026</v>
      </c>
      <c r="K1108" s="3"/>
    </row>
    <row r="1109" spans="1:11" x14ac:dyDescent="0.25">
      <c r="A1109" s="10">
        <v>1235</v>
      </c>
      <c r="B1109" s="4" t="s">
        <v>257</v>
      </c>
      <c r="C1109" s="24" t="s">
        <v>1467</v>
      </c>
      <c r="D1109" s="10">
        <v>8350</v>
      </c>
      <c r="E1109" s="10"/>
      <c r="F1109" s="64" t="s">
        <v>27</v>
      </c>
      <c r="G1109" s="10" t="s">
        <v>1344</v>
      </c>
      <c r="H1109" s="75">
        <v>42032</v>
      </c>
      <c r="I1109" s="10" t="s">
        <v>1368</v>
      </c>
      <c r="J1109" s="15">
        <v>42037</v>
      </c>
      <c r="K1109" s="3"/>
    </row>
    <row r="1110" spans="1:11" x14ac:dyDescent="0.25">
      <c r="A1110" s="10">
        <v>1236</v>
      </c>
      <c r="B1110" s="4" t="s">
        <v>221</v>
      </c>
      <c r="C1110" s="24" t="s">
        <v>1468</v>
      </c>
      <c r="D1110" s="10">
        <v>8350</v>
      </c>
      <c r="E1110" s="10"/>
      <c r="F1110" s="64" t="s">
        <v>52</v>
      </c>
      <c r="G1110" s="10" t="s">
        <v>1344</v>
      </c>
      <c r="H1110" s="75">
        <v>42032</v>
      </c>
      <c r="I1110" s="10" t="s">
        <v>1368</v>
      </c>
      <c r="J1110" s="15">
        <v>42037</v>
      </c>
      <c r="K1110" s="3"/>
    </row>
    <row r="1111" spans="1:11" x14ac:dyDescent="0.25">
      <c r="A1111" s="10">
        <v>1237</v>
      </c>
      <c r="B1111" s="4" t="s">
        <v>221</v>
      </c>
      <c r="C1111" s="24" t="s">
        <v>1492</v>
      </c>
      <c r="D1111" s="10">
        <v>8449</v>
      </c>
      <c r="E1111" s="10"/>
      <c r="F1111" s="64" t="s">
        <v>52</v>
      </c>
      <c r="G1111" s="10" t="s">
        <v>1181</v>
      </c>
      <c r="H1111" s="75">
        <v>42044</v>
      </c>
      <c r="I1111" s="37" t="s">
        <v>1368</v>
      </c>
      <c r="J1111" s="15">
        <v>42047</v>
      </c>
      <c r="K1111" s="3"/>
    </row>
    <row r="1112" spans="1:11" x14ac:dyDescent="0.25">
      <c r="A1112" s="10">
        <v>1238</v>
      </c>
      <c r="B1112" s="4" t="s">
        <v>221</v>
      </c>
      <c r="C1112" s="24" t="s">
        <v>1491</v>
      </c>
      <c r="D1112" s="37" t="s">
        <v>1472</v>
      </c>
      <c r="E1112" s="10"/>
      <c r="F1112" s="64" t="s">
        <v>623</v>
      </c>
      <c r="G1112" s="10" t="s">
        <v>1181</v>
      </c>
      <c r="H1112" s="75">
        <v>42045</v>
      </c>
      <c r="I1112" s="37" t="s">
        <v>1204</v>
      </c>
      <c r="J1112" s="15">
        <v>42101</v>
      </c>
      <c r="K1112" s="3"/>
    </row>
    <row r="1113" spans="1:11" x14ac:dyDescent="0.25">
      <c r="A1113" s="10">
        <v>1239</v>
      </c>
      <c r="B1113" s="4" t="s">
        <v>221</v>
      </c>
      <c r="C1113" s="24" t="s">
        <v>1348</v>
      </c>
      <c r="D1113" s="10">
        <v>8318</v>
      </c>
      <c r="E1113" s="10"/>
      <c r="F1113" s="64" t="s">
        <v>623</v>
      </c>
      <c r="G1113" s="59" t="s">
        <v>1267</v>
      </c>
      <c r="H1113" s="59" t="s">
        <v>1267</v>
      </c>
      <c r="I1113" s="37" t="s">
        <v>1288</v>
      </c>
      <c r="J1113" s="15">
        <v>42054</v>
      </c>
      <c r="K1113" s="3"/>
    </row>
    <row r="1114" spans="1:11" x14ac:dyDescent="0.25">
      <c r="A1114" s="10">
        <v>1240</v>
      </c>
      <c r="B1114" s="4" t="s">
        <v>221</v>
      </c>
      <c r="C1114" s="24" t="s">
        <v>1488</v>
      </c>
      <c r="D1114" s="10">
        <v>8292</v>
      </c>
      <c r="E1114" s="10"/>
      <c r="F1114" s="64" t="s">
        <v>623</v>
      </c>
      <c r="G1114" s="37" t="s">
        <v>1201</v>
      </c>
      <c r="H1114" s="59" t="s">
        <v>1267</v>
      </c>
      <c r="I1114" s="37" t="s">
        <v>1204</v>
      </c>
      <c r="J1114" s="15">
        <v>42066</v>
      </c>
      <c r="K1114" s="3"/>
    </row>
    <row r="1115" spans="1:11" x14ac:dyDescent="0.25">
      <c r="A1115" s="10">
        <v>1241</v>
      </c>
      <c r="B1115" s="4" t="s">
        <v>221</v>
      </c>
      <c r="C1115" s="24" t="s">
        <v>1487</v>
      </c>
      <c r="D1115" s="10">
        <v>8292</v>
      </c>
      <c r="E1115" s="10"/>
      <c r="F1115" s="64" t="s">
        <v>623</v>
      </c>
      <c r="G1115" s="37" t="s">
        <v>1201</v>
      </c>
      <c r="H1115" s="59" t="s">
        <v>1267</v>
      </c>
      <c r="I1115" s="37" t="s">
        <v>1204</v>
      </c>
      <c r="J1115" s="15">
        <v>42054</v>
      </c>
      <c r="K1115" s="3"/>
    </row>
    <row r="1116" spans="1:11" x14ac:dyDescent="0.25">
      <c r="A1116" s="10">
        <v>1242</v>
      </c>
      <c r="B1116" s="4" t="s">
        <v>221</v>
      </c>
      <c r="C1116" s="24" t="s">
        <v>1486</v>
      </c>
      <c r="D1116" s="10">
        <v>8292</v>
      </c>
      <c r="E1116" s="10"/>
      <c r="F1116" s="64" t="s">
        <v>623</v>
      </c>
      <c r="G1116" s="37" t="s">
        <v>1201</v>
      </c>
      <c r="H1116" s="59" t="s">
        <v>1267</v>
      </c>
      <c r="I1116" s="37" t="s">
        <v>1204</v>
      </c>
      <c r="J1116" s="15">
        <v>42054</v>
      </c>
      <c r="K1116" s="3"/>
    </row>
    <row r="1117" spans="1:11" x14ac:dyDescent="0.25">
      <c r="A1117" s="10">
        <v>1243</v>
      </c>
      <c r="B1117" s="4" t="s">
        <v>221</v>
      </c>
      <c r="C1117" s="24" t="s">
        <v>1489</v>
      </c>
      <c r="D1117" s="10">
        <v>8292</v>
      </c>
      <c r="E1117" s="10"/>
      <c r="F1117" s="64" t="s">
        <v>623</v>
      </c>
      <c r="G1117" s="37" t="s">
        <v>1201</v>
      </c>
      <c r="H1117" s="59" t="s">
        <v>1267</v>
      </c>
      <c r="I1117" s="37" t="s">
        <v>1204</v>
      </c>
      <c r="J1117" s="15">
        <v>42054</v>
      </c>
      <c r="K1117" s="3"/>
    </row>
    <row r="1118" spans="1:11" x14ac:dyDescent="0.25">
      <c r="A1118" s="10">
        <v>1244</v>
      </c>
      <c r="B1118" s="4" t="s">
        <v>221</v>
      </c>
      <c r="C1118" s="24" t="s">
        <v>1490</v>
      </c>
      <c r="D1118" s="10">
        <v>8292</v>
      </c>
      <c r="E1118" s="10"/>
      <c r="F1118" s="64" t="s">
        <v>623</v>
      </c>
      <c r="G1118" s="37" t="s">
        <v>1201</v>
      </c>
      <c r="H1118" s="59" t="s">
        <v>1267</v>
      </c>
      <c r="I1118" s="37" t="s">
        <v>1204</v>
      </c>
      <c r="J1118" s="15">
        <v>42054</v>
      </c>
      <c r="K1118" s="3"/>
    </row>
    <row r="1119" spans="1:11" x14ac:dyDescent="0.25">
      <c r="A1119" s="10">
        <v>1245</v>
      </c>
      <c r="B1119" s="4" t="s">
        <v>221</v>
      </c>
      <c r="C1119" s="24" t="s">
        <v>1485</v>
      </c>
      <c r="D1119" s="10">
        <v>8292</v>
      </c>
      <c r="E1119" s="10"/>
      <c r="F1119" s="64" t="s">
        <v>623</v>
      </c>
      <c r="G1119" s="37" t="s">
        <v>1201</v>
      </c>
      <c r="H1119" s="59" t="s">
        <v>1267</v>
      </c>
      <c r="I1119" s="37" t="s">
        <v>1204</v>
      </c>
      <c r="J1119" s="15">
        <v>42054</v>
      </c>
      <c r="K1119" s="3"/>
    </row>
    <row r="1120" spans="1:11" x14ac:dyDescent="0.25">
      <c r="A1120" s="10">
        <v>1246</v>
      </c>
      <c r="B1120" s="33" t="s">
        <v>221</v>
      </c>
      <c r="C1120" s="45" t="s">
        <v>1493</v>
      </c>
      <c r="D1120" s="10">
        <v>8292</v>
      </c>
      <c r="E1120" s="10"/>
      <c r="F1120" s="60" t="s">
        <v>623</v>
      </c>
      <c r="G1120" s="37" t="s">
        <v>1201</v>
      </c>
      <c r="H1120" s="59" t="s">
        <v>1267</v>
      </c>
      <c r="I1120" s="37" t="s">
        <v>1204</v>
      </c>
      <c r="J1120" s="15">
        <v>42054</v>
      </c>
      <c r="K1120" s="3"/>
    </row>
    <row r="1121" spans="1:11" x14ac:dyDescent="0.25">
      <c r="A1121" s="63">
        <v>1247</v>
      </c>
      <c r="B1121" s="57"/>
      <c r="C1121" s="56" t="s">
        <v>1274</v>
      </c>
      <c r="D1121" s="10"/>
      <c r="E1121" s="10"/>
      <c r="F1121" s="64"/>
      <c r="G1121" s="10"/>
      <c r="H1121" s="16"/>
      <c r="I1121" s="10"/>
      <c r="J1121" s="10"/>
      <c r="K1121" s="3"/>
    </row>
    <row r="1122" spans="1:11" x14ac:dyDescent="0.25">
      <c r="A1122" s="63">
        <v>1248</v>
      </c>
      <c r="B1122" s="57"/>
      <c r="C1122" s="56" t="s">
        <v>1274</v>
      </c>
      <c r="D1122" s="10"/>
      <c r="E1122" s="10"/>
      <c r="F1122" s="64"/>
      <c r="G1122" s="10"/>
      <c r="H1122" s="16"/>
      <c r="I1122" s="10"/>
      <c r="J1122" s="10"/>
      <c r="K1122" s="3"/>
    </row>
    <row r="1123" spans="1:11" x14ac:dyDescent="0.25">
      <c r="A1123" s="10">
        <v>1249</v>
      </c>
      <c r="B1123" s="33" t="s">
        <v>221</v>
      </c>
      <c r="C1123" s="45" t="s">
        <v>1495</v>
      </c>
      <c r="D1123" s="37" t="s">
        <v>1473</v>
      </c>
      <c r="E1123" s="10"/>
      <c r="F1123" s="60" t="s">
        <v>451</v>
      </c>
      <c r="G1123" s="37" t="s">
        <v>1368</v>
      </c>
      <c r="H1123" s="75">
        <v>42079</v>
      </c>
      <c r="I1123" s="37" t="s">
        <v>1368</v>
      </c>
      <c r="J1123" s="15">
        <v>42080</v>
      </c>
      <c r="K1123" s="3"/>
    </row>
    <row r="1124" spans="1:11" x14ac:dyDescent="0.25">
      <c r="A1124" s="10">
        <v>1250</v>
      </c>
      <c r="B1124" s="33" t="s">
        <v>221</v>
      </c>
      <c r="C1124" s="45" t="s">
        <v>1494</v>
      </c>
      <c r="D1124" s="37" t="s">
        <v>1473</v>
      </c>
      <c r="E1124" s="10"/>
      <c r="F1124" s="60" t="s">
        <v>451</v>
      </c>
      <c r="G1124" s="37" t="s">
        <v>1368</v>
      </c>
      <c r="H1124" s="75">
        <v>42080</v>
      </c>
      <c r="I1124" s="37" t="s">
        <v>1368</v>
      </c>
      <c r="J1124" s="15">
        <v>42080</v>
      </c>
      <c r="K1124" s="3"/>
    </row>
    <row r="1125" spans="1:11" x14ac:dyDescent="0.25">
      <c r="A1125" s="10">
        <v>1251</v>
      </c>
      <c r="B1125" s="33" t="s">
        <v>221</v>
      </c>
      <c r="C1125" s="45" t="s">
        <v>1501</v>
      </c>
      <c r="D1125" s="10">
        <v>8461</v>
      </c>
      <c r="E1125" s="10"/>
      <c r="F1125" s="60" t="s">
        <v>1502</v>
      </c>
      <c r="G1125" s="37" t="s">
        <v>1179</v>
      </c>
      <c r="H1125" s="75">
        <v>42110</v>
      </c>
      <c r="I1125" s="37" t="s">
        <v>1368</v>
      </c>
      <c r="J1125" s="75">
        <v>42110</v>
      </c>
      <c r="K1125" s="3"/>
    </row>
    <row r="1126" spans="1:11" x14ac:dyDescent="0.25">
      <c r="A1126" s="10">
        <v>1252</v>
      </c>
      <c r="B1126" s="33" t="s">
        <v>221</v>
      </c>
      <c r="C1126" s="45" t="s">
        <v>1500</v>
      </c>
      <c r="D1126" s="10">
        <v>8461</v>
      </c>
      <c r="E1126" s="10"/>
      <c r="F1126" s="60" t="s">
        <v>1502</v>
      </c>
      <c r="G1126" s="37" t="s">
        <v>1503</v>
      </c>
      <c r="H1126" s="75">
        <v>42110</v>
      </c>
      <c r="I1126" s="37" t="s">
        <v>1368</v>
      </c>
      <c r="J1126" s="75">
        <v>42110</v>
      </c>
      <c r="K1126" s="3"/>
    </row>
    <row r="1127" spans="1:11" x14ac:dyDescent="0.25">
      <c r="A1127" s="10">
        <v>1253</v>
      </c>
      <c r="B1127" s="33" t="s">
        <v>221</v>
      </c>
      <c r="C1127" s="45" t="s">
        <v>1499</v>
      </c>
      <c r="D1127" s="10">
        <v>8461</v>
      </c>
      <c r="E1127" s="10"/>
      <c r="F1127" s="60" t="s">
        <v>1502</v>
      </c>
      <c r="G1127" s="37" t="s">
        <v>1503</v>
      </c>
      <c r="H1127" s="75">
        <v>42110</v>
      </c>
      <c r="I1127" s="37" t="s">
        <v>1368</v>
      </c>
      <c r="J1127" s="75">
        <v>42110</v>
      </c>
      <c r="K1127" s="3"/>
    </row>
    <row r="1128" spans="1:11" x14ac:dyDescent="0.25">
      <c r="A1128" s="10">
        <v>1254</v>
      </c>
      <c r="B1128" s="33" t="s">
        <v>221</v>
      </c>
      <c r="C1128" s="45" t="s">
        <v>1498</v>
      </c>
      <c r="D1128" s="37" t="s">
        <v>1475</v>
      </c>
      <c r="E1128" s="10"/>
      <c r="F1128" s="60" t="s">
        <v>451</v>
      </c>
      <c r="G1128" s="37" t="s">
        <v>1179</v>
      </c>
      <c r="H1128" s="75">
        <v>42115</v>
      </c>
      <c r="I1128" s="37" t="s">
        <v>1368</v>
      </c>
      <c r="J1128" s="75">
        <v>42115</v>
      </c>
      <c r="K1128" s="3"/>
    </row>
    <row r="1129" spans="1:11" x14ac:dyDescent="0.25">
      <c r="A1129" s="10">
        <v>1255</v>
      </c>
      <c r="B1129" s="33" t="s">
        <v>221</v>
      </c>
      <c r="C1129" s="45" t="s">
        <v>1497</v>
      </c>
      <c r="D1129" s="37" t="s">
        <v>1475</v>
      </c>
      <c r="E1129" s="10"/>
      <c r="F1129" s="60" t="s">
        <v>451</v>
      </c>
      <c r="G1129" s="37" t="s">
        <v>1179</v>
      </c>
      <c r="H1129" s="75">
        <v>42115</v>
      </c>
      <c r="I1129" s="37" t="s">
        <v>1368</v>
      </c>
      <c r="J1129" s="75">
        <v>42115</v>
      </c>
      <c r="K1129" s="3"/>
    </row>
    <row r="1130" spans="1:11" x14ac:dyDescent="0.25">
      <c r="A1130" s="10">
        <v>1256</v>
      </c>
      <c r="B1130" s="33" t="s">
        <v>221</v>
      </c>
      <c r="C1130" s="45" t="s">
        <v>1496</v>
      </c>
      <c r="D1130" s="37" t="s">
        <v>1476</v>
      </c>
      <c r="E1130" s="10"/>
      <c r="F1130" s="60" t="s">
        <v>623</v>
      </c>
      <c r="G1130" s="37" t="s">
        <v>1179</v>
      </c>
      <c r="H1130" s="100">
        <v>42118</v>
      </c>
      <c r="I1130" s="37" t="s">
        <v>1368</v>
      </c>
      <c r="J1130" s="100">
        <v>42118</v>
      </c>
      <c r="K1130" s="3"/>
    </row>
    <row r="1131" spans="1:11" s="55" customFormat="1" ht="25" x14ac:dyDescent="0.25">
      <c r="A1131" s="10">
        <v>1257</v>
      </c>
      <c r="B1131" s="37" t="s">
        <v>257</v>
      </c>
      <c r="C1131" s="61" t="s">
        <v>1506</v>
      </c>
      <c r="D1131" s="37" t="s">
        <v>1473</v>
      </c>
      <c r="E1131" s="10"/>
      <c r="F1131" s="60" t="s">
        <v>977</v>
      </c>
      <c r="G1131" s="37" t="s">
        <v>1288</v>
      </c>
      <c r="H1131" s="75">
        <v>42117</v>
      </c>
      <c r="I1131" s="37" t="s">
        <v>1288</v>
      </c>
      <c r="J1131" s="15">
        <v>42484</v>
      </c>
      <c r="K1131" s="54"/>
    </row>
    <row r="1132" spans="1:11" x14ac:dyDescent="0.25">
      <c r="A1132" s="10">
        <v>1258</v>
      </c>
      <c r="B1132" s="33" t="s">
        <v>221</v>
      </c>
      <c r="C1132" s="45" t="s">
        <v>1505</v>
      </c>
      <c r="D1132" s="37" t="s">
        <v>1477</v>
      </c>
      <c r="E1132" s="10"/>
      <c r="F1132" s="60" t="s">
        <v>32</v>
      </c>
      <c r="G1132" s="37" t="s">
        <v>1368</v>
      </c>
      <c r="H1132" s="75">
        <v>42130</v>
      </c>
      <c r="I1132" s="37" t="s">
        <v>1288</v>
      </c>
      <c r="J1132" s="15">
        <v>42135</v>
      </c>
      <c r="K1132" s="3"/>
    </row>
    <row r="1133" spans="1:11" s="55" customFormat="1" ht="25" x14ac:dyDescent="0.25">
      <c r="A1133" s="10">
        <v>1259</v>
      </c>
      <c r="B1133" s="37" t="s">
        <v>257</v>
      </c>
      <c r="C1133" s="61" t="s">
        <v>1522</v>
      </c>
      <c r="D1133" s="10">
        <v>8325</v>
      </c>
      <c r="E1133" s="10"/>
      <c r="F1133" s="60" t="s">
        <v>977</v>
      </c>
      <c r="G1133" s="37" t="s">
        <v>1271</v>
      </c>
      <c r="H1133" s="75">
        <v>41873</v>
      </c>
      <c r="I1133" s="37" t="s">
        <v>1288</v>
      </c>
      <c r="J1133" s="15">
        <v>41891</v>
      </c>
      <c r="K1133" s="54"/>
    </row>
    <row r="1134" spans="1:11" s="55" customFormat="1" ht="25" x14ac:dyDescent="0.25">
      <c r="A1134" s="10">
        <v>1260</v>
      </c>
      <c r="B1134" s="37" t="s">
        <v>257</v>
      </c>
      <c r="C1134" s="61" t="s">
        <v>1504</v>
      </c>
      <c r="D1134" s="10">
        <v>8325</v>
      </c>
      <c r="E1134" s="10"/>
      <c r="F1134" s="60" t="s">
        <v>977</v>
      </c>
      <c r="G1134" s="37" t="s">
        <v>1271</v>
      </c>
      <c r="H1134" s="75">
        <v>41873</v>
      </c>
      <c r="I1134" s="37" t="s">
        <v>1288</v>
      </c>
      <c r="J1134" s="15">
        <v>41891</v>
      </c>
      <c r="K1134" s="54"/>
    </row>
    <row r="1135" spans="1:11" s="13" customFormat="1" ht="25" x14ac:dyDescent="0.25">
      <c r="A1135" s="10">
        <v>1261</v>
      </c>
      <c r="B1135" s="37" t="s">
        <v>257</v>
      </c>
      <c r="C1135" s="61" t="s">
        <v>1523</v>
      </c>
      <c r="D1135" s="10">
        <v>8325</v>
      </c>
      <c r="E1135" s="10"/>
      <c r="F1135" s="60" t="s">
        <v>977</v>
      </c>
      <c r="G1135" s="37" t="s">
        <v>1271</v>
      </c>
      <c r="H1135" s="75">
        <v>41873</v>
      </c>
      <c r="I1135" s="37" t="s">
        <v>1288</v>
      </c>
      <c r="J1135" s="15">
        <v>41891</v>
      </c>
      <c r="K1135" s="10"/>
    </row>
    <row r="1136" spans="1:11" x14ac:dyDescent="0.25">
      <c r="A1136" s="10">
        <v>1262</v>
      </c>
      <c r="B1136" s="33" t="s">
        <v>221</v>
      </c>
      <c r="C1136" s="45" t="s">
        <v>1525</v>
      </c>
      <c r="D1136" s="37" t="s">
        <v>1526</v>
      </c>
      <c r="E1136" s="10"/>
      <c r="F1136" s="60" t="s">
        <v>51</v>
      </c>
      <c r="G1136" s="37" t="s">
        <v>1201</v>
      </c>
      <c r="H1136" s="75">
        <v>42164</v>
      </c>
      <c r="I1136" s="37" t="s">
        <v>1368</v>
      </c>
      <c r="J1136" s="15">
        <v>42164</v>
      </c>
      <c r="K1136" s="3"/>
    </row>
    <row r="1137" spans="1:11" x14ac:dyDescent="0.25">
      <c r="A1137" s="10">
        <v>1263</v>
      </c>
      <c r="B1137" s="33" t="s">
        <v>221</v>
      </c>
      <c r="C1137" s="45" t="s">
        <v>1528</v>
      </c>
      <c r="D1137" s="37" t="s">
        <v>1529</v>
      </c>
      <c r="E1137" s="10"/>
      <c r="F1137" s="60" t="s">
        <v>623</v>
      </c>
      <c r="G1137" s="37" t="s">
        <v>1344</v>
      </c>
      <c r="H1137" s="75">
        <v>42165</v>
      </c>
      <c r="I1137" s="37" t="s">
        <v>1368</v>
      </c>
      <c r="J1137" s="15">
        <v>42166</v>
      </c>
      <c r="K1137" s="3"/>
    </row>
    <row r="1138" spans="1:11" x14ac:dyDescent="0.25">
      <c r="A1138" s="10">
        <v>1264</v>
      </c>
      <c r="B1138" s="4" t="s">
        <v>257</v>
      </c>
      <c r="C1138" s="24" t="s">
        <v>1530</v>
      </c>
      <c r="D1138" s="10">
        <v>8471</v>
      </c>
      <c r="E1138" s="10"/>
      <c r="F1138" s="64" t="s">
        <v>27</v>
      </c>
      <c r="G1138" s="10" t="s">
        <v>1201</v>
      </c>
      <c r="H1138" s="75">
        <v>42172</v>
      </c>
      <c r="I1138" s="10" t="s">
        <v>1368</v>
      </c>
      <c r="J1138" s="15">
        <v>42173</v>
      </c>
      <c r="K1138" s="3"/>
    </row>
    <row r="1139" spans="1:11" x14ac:dyDescent="0.25">
      <c r="A1139" s="10">
        <v>1265</v>
      </c>
      <c r="B1139" s="33" t="s">
        <v>221</v>
      </c>
      <c r="C1139" s="45" t="s">
        <v>1531</v>
      </c>
      <c r="D1139" s="10">
        <v>8469</v>
      </c>
      <c r="E1139" s="10"/>
      <c r="F1139" s="64" t="s">
        <v>51</v>
      </c>
      <c r="G1139" s="10" t="s">
        <v>1503</v>
      </c>
      <c r="H1139" s="75">
        <v>42178</v>
      </c>
      <c r="I1139" s="10" t="s">
        <v>1368</v>
      </c>
      <c r="J1139" s="15">
        <v>42179</v>
      </c>
      <c r="K1139" s="3"/>
    </row>
    <row r="1140" spans="1:11" x14ac:dyDescent="0.25">
      <c r="A1140" s="10">
        <v>1266</v>
      </c>
      <c r="B1140" s="33" t="s">
        <v>221</v>
      </c>
      <c r="C1140" s="45" t="s">
        <v>1532</v>
      </c>
      <c r="D1140" s="10">
        <v>8469</v>
      </c>
      <c r="E1140" s="10"/>
      <c r="F1140" s="64" t="s">
        <v>51</v>
      </c>
      <c r="G1140" s="10" t="s">
        <v>1503</v>
      </c>
      <c r="H1140" s="75">
        <v>42178</v>
      </c>
      <c r="I1140" s="10" t="s">
        <v>1368</v>
      </c>
      <c r="J1140" s="15">
        <v>42179</v>
      </c>
      <c r="K1140" s="3"/>
    </row>
    <row r="1141" spans="1:11" x14ac:dyDescent="0.25">
      <c r="A1141" s="10">
        <v>1267</v>
      </c>
      <c r="B1141" s="33" t="s">
        <v>257</v>
      </c>
      <c r="C1141" s="45" t="s">
        <v>1539</v>
      </c>
      <c r="D1141" s="10">
        <v>8470</v>
      </c>
      <c r="E1141" s="10"/>
      <c r="F1141" s="60" t="s">
        <v>27</v>
      </c>
      <c r="G1141" s="10" t="s">
        <v>1179</v>
      </c>
      <c r="H1141" s="75">
        <v>42179</v>
      </c>
      <c r="I1141" s="10" t="s">
        <v>1368</v>
      </c>
      <c r="J1141" s="75">
        <v>42181</v>
      </c>
      <c r="K1141" s="3"/>
    </row>
    <row r="1142" spans="1:11" x14ac:dyDescent="0.25">
      <c r="A1142" s="10">
        <v>1268</v>
      </c>
      <c r="B1142" s="33" t="s">
        <v>221</v>
      </c>
      <c r="C1142" s="45" t="s">
        <v>1540</v>
      </c>
      <c r="D1142" s="10">
        <v>8470</v>
      </c>
      <c r="E1142" s="10"/>
      <c r="F1142" s="60" t="s">
        <v>52</v>
      </c>
      <c r="G1142" s="10" t="s">
        <v>1179</v>
      </c>
      <c r="H1142" s="75">
        <v>42180</v>
      </c>
      <c r="I1142" s="10" t="s">
        <v>1368</v>
      </c>
      <c r="J1142" s="75">
        <v>42181</v>
      </c>
      <c r="K1142" s="3"/>
    </row>
    <row r="1143" spans="1:11" s="119" customFormat="1" x14ac:dyDescent="0.25">
      <c r="A1143" s="37">
        <v>1269</v>
      </c>
      <c r="B1143" s="33" t="s">
        <v>257</v>
      </c>
      <c r="C1143" s="45" t="s">
        <v>1534</v>
      </c>
      <c r="D1143" s="37" t="s">
        <v>1533</v>
      </c>
      <c r="E1143" s="37"/>
      <c r="F1143" s="60" t="s">
        <v>27</v>
      </c>
      <c r="G1143" s="37" t="s">
        <v>1179</v>
      </c>
      <c r="H1143" s="100">
        <v>42180</v>
      </c>
      <c r="I1143" s="37" t="s">
        <v>1368</v>
      </c>
      <c r="J1143" s="38">
        <v>42184</v>
      </c>
      <c r="K1143" s="43"/>
    </row>
    <row r="1144" spans="1:11" x14ac:dyDescent="0.25">
      <c r="A1144" s="10">
        <v>1270</v>
      </c>
      <c r="B1144" s="4" t="s">
        <v>221</v>
      </c>
      <c r="C1144" s="45" t="s">
        <v>1535</v>
      </c>
      <c r="D1144" s="10" t="s">
        <v>1533</v>
      </c>
      <c r="E1144" s="10"/>
      <c r="F1144" s="64" t="s">
        <v>52</v>
      </c>
      <c r="G1144" s="10" t="s">
        <v>1179</v>
      </c>
      <c r="H1144" s="75">
        <v>42180</v>
      </c>
      <c r="I1144" s="10" t="s">
        <v>1368</v>
      </c>
      <c r="J1144" s="15">
        <v>42184</v>
      </c>
      <c r="K1144" s="3"/>
    </row>
    <row r="1145" spans="1:11" x14ac:dyDescent="0.25">
      <c r="A1145" s="10">
        <v>1271</v>
      </c>
      <c r="B1145" s="4" t="s">
        <v>221</v>
      </c>
      <c r="C1145" s="24" t="s">
        <v>1550</v>
      </c>
      <c r="D1145" s="10" t="s">
        <v>1551</v>
      </c>
      <c r="E1145" s="10"/>
      <c r="F1145" s="60" t="s">
        <v>623</v>
      </c>
      <c r="G1145" s="10" t="s">
        <v>1179</v>
      </c>
      <c r="H1145" s="75">
        <v>42198</v>
      </c>
      <c r="I1145" s="10" t="s">
        <v>1181</v>
      </c>
      <c r="J1145" s="15">
        <v>42198</v>
      </c>
      <c r="K1145" s="3"/>
    </row>
    <row r="1146" spans="1:11" s="55" customFormat="1" ht="25" x14ac:dyDescent="0.25">
      <c r="A1146" s="10">
        <v>1272</v>
      </c>
      <c r="B1146" s="37" t="s">
        <v>257</v>
      </c>
      <c r="C1146" s="61" t="s">
        <v>1549</v>
      </c>
      <c r="D1146" s="10">
        <v>5043</v>
      </c>
      <c r="E1146" s="10"/>
      <c r="F1146" s="60" t="s">
        <v>977</v>
      </c>
      <c r="G1146" s="10" t="s">
        <v>1179</v>
      </c>
      <c r="H1146" s="75">
        <v>42198</v>
      </c>
      <c r="I1146" s="10" t="s">
        <v>1181</v>
      </c>
      <c r="J1146" s="15">
        <v>42198</v>
      </c>
      <c r="K1146" s="54"/>
    </row>
    <row r="1147" spans="1:11" x14ac:dyDescent="0.25">
      <c r="A1147" s="10">
        <v>1273</v>
      </c>
      <c r="B1147" s="4" t="s">
        <v>257</v>
      </c>
      <c r="C1147" s="24" t="s">
        <v>1548</v>
      </c>
      <c r="D1147" s="10">
        <v>5043</v>
      </c>
      <c r="E1147" s="10"/>
      <c r="F1147" s="64" t="s">
        <v>27</v>
      </c>
      <c r="G1147" s="10" t="s">
        <v>1179</v>
      </c>
      <c r="H1147" s="75">
        <v>42198</v>
      </c>
      <c r="I1147" s="10" t="s">
        <v>1181</v>
      </c>
      <c r="J1147" s="15">
        <v>42198</v>
      </c>
      <c r="K1147" s="3"/>
    </row>
    <row r="1148" spans="1:11" x14ac:dyDescent="0.25">
      <c r="A1148" s="10">
        <v>1274</v>
      </c>
      <c r="B1148" s="33" t="s">
        <v>221</v>
      </c>
      <c r="C1148" s="45" t="s">
        <v>1536</v>
      </c>
      <c r="D1148" s="37" t="s">
        <v>1538</v>
      </c>
      <c r="E1148" s="10"/>
      <c r="F1148" s="60" t="s">
        <v>51</v>
      </c>
      <c r="G1148" s="10" t="s">
        <v>1179</v>
      </c>
      <c r="H1148" s="75">
        <v>42208</v>
      </c>
      <c r="I1148" s="10" t="s">
        <v>1368</v>
      </c>
      <c r="J1148" s="15">
        <v>42209</v>
      </c>
      <c r="K1148" s="3"/>
    </row>
    <row r="1149" spans="1:11" x14ac:dyDescent="0.25">
      <c r="A1149" s="10">
        <v>1275</v>
      </c>
      <c r="B1149" s="33" t="s">
        <v>221</v>
      </c>
      <c r="C1149" s="45" t="s">
        <v>1537</v>
      </c>
      <c r="D1149" s="37" t="s">
        <v>1538</v>
      </c>
      <c r="E1149" s="10"/>
      <c r="F1149" s="60" t="s">
        <v>51</v>
      </c>
      <c r="G1149" s="10" t="s">
        <v>1179</v>
      </c>
      <c r="H1149" s="75">
        <v>42208</v>
      </c>
      <c r="I1149" s="10" t="s">
        <v>1368</v>
      </c>
      <c r="J1149" s="15">
        <v>42209</v>
      </c>
      <c r="K1149" s="3"/>
    </row>
    <row r="1150" spans="1:11" x14ac:dyDescent="0.25">
      <c r="A1150" s="10">
        <v>1276</v>
      </c>
      <c r="B1150" s="4" t="s">
        <v>221</v>
      </c>
      <c r="C1150" s="24" t="s">
        <v>1543</v>
      </c>
      <c r="D1150" s="10" t="s">
        <v>1544</v>
      </c>
      <c r="E1150" s="10"/>
      <c r="F1150" s="64" t="s">
        <v>623</v>
      </c>
      <c r="G1150" s="10" t="s">
        <v>1434</v>
      </c>
      <c r="H1150" s="75">
        <v>42208</v>
      </c>
      <c r="I1150" s="10" t="s">
        <v>1368</v>
      </c>
      <c r="J1150" s="15">
        <v>42209</v>
      </c>
      <c r="K1150" s="3"/>
    </row>
    <row r="1151" spans="1:11" x14ac:dyDescent="0.25">
      <c r="A1151" s="10">
        <v>1277</v>
      </c>
      <c r="B1151" s="33" t="s">
        <v>221</v>
      </c>
      <c r="C1151" s="45" t="s">
        <v>1541</v>
      </c>
      <c r="D1151" s="10">
        <v>8318</v>
      </c>
      <c r="E1151" s="10"/>
      <c r="F1151" s="60" t="s">
        <v>623</v>
      </c>
      <c r="G1151" s="10" t="s">
        <v>1434</v>
      </c>
      <c r="H1151" s="75">
        <v>42208</v>
      </c>
      <c r="I1151" s="10" t="s">
        <v>1368</v>
      </c>
      <c r="J1151" s="15">
        <v>42209</v>
      </c>
      <c r="K1151" s="3"/>
    </row>
    <row r="1152" spans="1:11" x14ac:dyDescent="0.25">
      <c r="A1152" s="10">
        <v>1278</v>
      </c>
      <c r="B1152" s="4" t="s">
        <v>221</v>
      </c>
      <c r="C1152" s="24" t="s">
        <v>1542</v>
      </c>
      <c r="D1152" s="10">
        <v>8318</v>
      </c>
      <c r="E1152" s="10"/>
      <c r="F1152" s="60" t="s">
        <v>623</v>
      </c>
      <c r="G1152" s="10" t="s">
        <v>1434</v>
      </c>
      <c r="H1152" s="75">
        <v>42208</v>
      </c>
      <c r="I1152" s="10" t="s">
        <v>1368</v>
      </c>
      <c r="J1152" s="15">
        <v>42209</v>
      </c>
      <c r="K1152" s="3"/>
    </row>
    <row r="1153" spans="1:11" x14ac:dyDescent="0.25">
      <c r="A1153" s="10">
        <v>1279</v>
      </c>
      <c r="B1153" s="4" t="s">
        <v>221</v>
      </c>
      <c r="C1153" s="45" t="s">
        <v>1576</v>
      </c>
      <c r="D1153" s="120" t="s">
        <v>1545</v>
      </c>
      <c r="E1153" s="10"/>
      <c r="F1153" s="60" t="s">
        <v>51</v>
      </c>
      <c r="G1153" s="10" t="s">
        <v>1201</v>
      </c>
      <c r="H1153" s="75">
        <v>42222</v>
      </c>
      <c r="I1153" s="10"/>
      <c r="J1153" s="10"/>
      <c r="K1153" s="3"/>
    </row>
    <row r="1154" spans="1:11" x14ac:dyDescent="0.25">
      <c r="A1154" s="10">
        <v>1280</v>
      </c>
      <c r="B1154" s="4" t="s">
        <v>221</v>
      </c>
      <c r="C1154" s="45" t="s">
        <v>1577</v>
      </c>
      <c r="D1154" s="120" t="s">
        <v>1545</v>
      </c>
      <c r="E1154" s="10"/>
      <c r="F1154" s="60" t="s">
        <v>51</v>
      </c>
      <c r="G1154" s="10" t="s">
        <v>1201</v>
      </c>
      <c r="H1154" s="75">
        <v>42222</v>
      </c>
      <c r="I1154" s="10"/>
      <c r="J1154" s="10"/>
      <c r="K1154" s="3"/>
    </row>
    <row r="1155" spans="1:11" x14ac:dyDescent="0.25">
      <c r="A1155" s="10">
        <v>1281</v>
      </c>
      <c r="B1155" s="4" t="s">
        <v>221</v>
      </c>
      <c r="C1155" s="24"/>
      <c r="D1155" s="120" t="s">
        <v>1545</v>
      </c>
      <c r="E1155" s="10"/>
      <c r="F1155" s="64" t="s">
        <v>623</v>
      </c>
      <c r="G1155" s="10" t="s">
        <v>1201</v>
      </c>
      <c r="H1155" s="75">
        <v>42222</v>
      </c>
      <c r="I1155" s="10"/>
      <c r="J1155" s="10"/>
      <c r="K1155" s="3"/>
    </row>
    <row r="1156" spans="1:11" x14ac:dyDescent="0.25">
      <c r="A1156" s="10">
        <v>1282</v>
      </c>
      <c r="B1156" s="4" t="s">
        <v>221</v>
      </c>
      <c r="C1156" s="45" t="s">
        <v>1578</v>
      </c>
      <c r="D1156" s="120" t="s">
        <v>1545</v>
      </c>
      <c r="E1156" s="10"/>
      <c r="F1156" s="64" t="s">
        <v>623</v>
      </c>
      <c r="G1156" s="10" t="s">
        <v>1201</v>
      </c>
      <c r="H1156" s="75">
        <v>42222</v>
      </c>
      <c r="I1156" s="10"/>
      <c r="J1156" s="10"/>
      <c r="K1156" s="3"/>
    </row>
    <row r="1157" spans="1:11" x14ac:dyDescent="0.25">
      <c r="A1157" s="10">
        <v>1283</v>
      </c>
      <c r="B1157" s="4" t="s">
        <v>221</v>
      </c>
      <c r="C1157" s="24"/>
      <c r="D1157" s="120" t="s">
        <v>1545</v>
      </c>
      <c r="E1157" s="10"/>
      <c r="F1157" s="64" t="s">
        <v>623</v>
      </c>
      <c r="G1157" s="10" t="s">
        <v>1201</v>
      </c>
      <c r="H1157" s="75">
        <v>42222</v>
      </c>
      <c r="I1157" s="10"/>
      <c r="J1157" s="10"/>
      <c r="K1157" s="3"/>
    </row>
    <row r="1158" spans="1:11" x14ac:dyDescent="0.25">
      <c r="A1158" s="10">
        <v>1284</v>
      </c>
      <c r="B1158" s="4" t="s">
        <v>257</v>
      </c>
      <c r="C1158" s="24"/>
      <c r="D1158" s="10">
        <v>5043</v>
      </c>
      <c r="E1158" s="10"/>
      <c r="F1158" s="60" t="s">
        <v>27</v>
      </c>
      <c r="G1158" s="10" t="s">
        <v>1201</v>
      </c>
      <c r="H1158" s="75">
        <v>42227</v>
      </c>
      <c r="I1158" s="10"/>
      <c r="J1158" s="10"/>
      <c r="K1158" s="3" t="s">
        <v>1546</v>
      </c>
    </row>
    <row r="1159" spans="1:11" x14ac:dyDescent="0.25">
      <c r="A1159" s="10">
        <v>1285</v>
      </c>
      <c r="B1159" s="4" t="s">
        <v>257</v>
      </c>
      <c r="C1159" s="45" t="s">
        <v>1579</v>
      </c>
      <c r="D1159" s="10">
        <v>5043</v>
      </c>
      <c r="E1159" s="10"/>
      <c r="F1159" s="60" t="s">
        <v>27</v>
      </c>
      <c r="G1159" s="10" t="s">
        <v>1201</v>
      </c>
      <c r="H1159" s="15">
        <v>42227</v>
      </c>
      <c r="I1159" s="10"/>
      <c r="J1159" s="10"/>
      <c r="K1159" s="3" t="s">
        <v>1546</v>
      </c>
    </row>
    <row r="1160" spans="1:11" s="55" customFormat="1" ht="25" x14ac:dyDescent="0.25">
      <c r="A1160" s="10">
        <v>1286</v>
      </c>
      <c r="B1160" s="10" t="s">
        <v>257</v>
      </c>
      <c r="C1160" s="65" t="s">
        <v>1547</v>
      </c>
      <c r="D1160" s="10">
        <v>5043</v>
      </c>
      <c r="E1160" s="10"/>
      <c r="F1160" s="64" t="s">
        <v>168</v>
      </c>
      <c r="G1160" s="10" t="s">
        <v>1201</v>
      </c>
      <c r="H1160" s="15">
        <v>42228</v>
      </c>
      <c r="I1160" s="15"/>
      <c r="J1160" s="10"/>
      <c r="K1160" s="54" t="s">
        <v>86</v>
      </c>
    </row>
    <row r="1161" spans="1:11" ht="25" x14ac:dyDescent="0.25">
      <c r="A1161" s="10">
        <v>1287</v>
      </c>
      <c r="B1161" s="37" t="s">
        <v>1507</v>
      </c>
      <c r="C1161" s="80" t="s">
        <v>1573</v>
      </c>
      <c r="D1161" s="37" t="s">
        <v>1552</v>
      </c>
      <c r="E1161" s="10"/>
      <c r="F1161" s="60" t="s">
        <v>1575</v>
      </c>
      <c r="G1161" s="37" t="s">
        <v>1344</v>
      </c>
      <c r="H1161" s="75">
        <v>42240</v>
      </c>
      <c r="I1161" s="37" t="s">
        <v>1288</v>
      </c>
      <c r="J1161" s="15">
        <v>42240</v>
      </c>
      <c r="K1161" s="3"/>
    </row>
    <row r="1162" spans="1:11" ht="25" x14ac:dyDescent="0.25">
      <c r="A1162" s="10">
        <v>1288</v>
      </c>
      <c r="B1162" s="37" t="s">
        <v>1507</v>
      </c>
      <c r="C1162" s="80" t="s">
        <v>1574</v>
      </c>
      <c r="D1162" s="37" t="s">
        <v>1552</v>
      </c>
      <c r="E1162" s="10"/>
      <c r="F1162" s="60" t="s">
        <v>1575</v>
      </c>
      <c r="G1162" s="37" t="s">
        <v>1344</v>
      </c>
      <c r="H1162" s="75">
        <v>42240</v>
      </c>
      <c r="I1162" s="37" t="s">
        <v>1288</v>
      </c>
      <c r="J1162" s="15">
        <v>42240</v>
      </c>
      <c r="K1162" s="3"/>
    </row>
    <row r="1163" spans="1:11" ht="25" x14ac:dyDescent="0.25">
      <c r="A1163" s="10">
        <v>1289</v>
      </c>
      <c r="B1163" s="37" t="s">
        <v>1507</v>
      </c>
      <c r="C1163" s="80" t="s">
        <v>1569</v>
      </c>
      <c r="D1163" s="37" t="s">
        <v>1571</v>
      </c>
      <c r="E1163" s="10"/>
      <c r="F1163" s="60" t="s">
        <v>1572</v>
      </c>
      <c r="G1163" s="59" t="s">
        <v>1267</v>
      </c>
      <c r="H1163" s="75">
        <v>42243</v>
      </c>
      <c r="I1163" s="37" t="s">
        <v>1368</v>
      </c>
      <c r="J1163" s="15">
        <v>42243</v>
      </c>
      <c r="K1163" s="3"/>
    </row>
    <row r="1164" spans="1:11" ht="25" x14ac:dyDescent="0.25">
      <c r="A1164" s="10">
        <v>1290</v>
      </c>
      <c r="B1164" s="37" t="s">
        <v>1507</v>
      </c>
      <c r="C1164" s="80" t="s">
        <v>1570</v>
      </c>
      <c r="D1164" s="37" t="s">
        <v>1571</v>
      </c>
      <c r="E1164" s="10"/>
      <c r="F1164" s="60" t="s">
        <v>1572</v>
      </c>
      <c r="G1164" s="59" t="s">
        <v>1267</v>
      </c>
      <c r="H1164" s="75">
        <v>42243</v>
      </c>
      <c r="I1164" s="37" t="s">
        <v>1368</v>
      </c>
      <c r="J1164" s="15">
        <v>42243</v>
      </c>
      <c r="K1164" s="3"/>
    </row>
    <row r="1165" spans="1:11" x14ac:dyDescent="0.25">
      <c r="A1165" s="10">
        <v>1291</v>
      </c>
      <c r="B1165" s="4" t="s">
        <v>221</v>
      </c>
      <c r="C1165" s="24" t="s">
        <v>1554</v>
      </c>
      <c r="D1165" s="10">
        <v>8485</v>
      </c>
      <c r="E1165" s="10"/>
      <c r="F1165" s="60" t="s">
        <v>52</v>
      </c>
      <c r="G1165" s="37" t="s">
        <v>1389</v>
      </c>
      <c r="H1165" s="75">
        <v>42250</v>
      </c>
      <c r="I1165" s="37" t="s">
        <v>1288</v>
      </c>
      <c r="J1165" s="15">
        <v>42251</v>
      </c>
      <c r="K1165" s="3"/>
    </row>
    <row r="1166" spans="1:11" x14ac:dyDescent="0.25">
      <c r="A1166" s="10">
        <v>1292</v>
      </c>
      <c r="B1166" s="33" t="s">
        <v>221</v>
      </c>
      <c r="C1166" s="24" t="s">
        <v>1555</v>
      </c>
      <c r="D1166" s="10">
        <v>8485</v>
      </c>
      <c r="E1166" s="10"/>
      <c r="F1166" s="60" t="s">
        <v>52</v>
      </c>
      <c r="G1166" s="37" t="s">
        <v>1389</v>
      </c>
      <c r="H1166" s="75">
        <v>42250</v>
      </c>
      <c r="I1166" s="37" t="s">
        <v>1288</v>
      </c>
      <c r="J1166" s="15">
        <v>42251</v>
      </c>
      <c r="K1166" s="3"/>
    </row>
    <row r="1167" spans="1:11" x14ac:dyDescent="0.25">
      <c r="A1167" s="10">
        <v>1293</v>
      </c>
      <c r="B1167" s="4" t="s">
        <v>257</v>
      </c>
      <c r="C1167" s="24" t="s">
        <v>1553</v>
      </c>
      <c r="D1167" s="10">
        <v>8484</v>
      </c>
      <c r="E1167" s="10"/>
      <c r="F1167" s="64" t="s">
        <v>27</v>
      </c>
      <c r="G1167" s="37" t="s">
        <v>1344</v>
      </c>
      <c r="H1167" s="75">
        <v>42251</v>
      </c>
      <c r="I1167" s="10" t="s">
        <v>1288</v>
      </c>
      <c r="J1167" s="15">
        <v>42254</v>
      </c>
      <c r="K1167" s="3"/>
    </row>
    <row r="1168" spans="1:11" x14ac:dyDescent="0.25">
      <c r="A1168" s="10">
        <v>1294</v>
      </c>
      <c r="B1168" s="33" t="s">
        <v>257</v>
      </c>
      <c r="C1168" s="45" t="s">
        <v>1568</v>
      </c>
      <c r="D1168" s="10">
        <v>8474</v>
      </c>
      <c r="E1168" s="10"/>
      <c r="F1168" s="60" t="s">
        <v>27</v>
      </c>
      <c r="G1168" s="37" t="s">
        <v>1344</v>
      </c>
      <c r="H1168" s="75">
        <v>42251</v>
      </c>
      <c r="I1168" s="37" t="s">
        <v>1288</v>
      </c>
      <c r="J1168" s="15">
        <v>42254</v>
      </c>
      <c r="K1168" s="3"/>
    </row>
    <row r="1169" spans="1:11" x14ac:dyDescent="0.25">
      <c r="A1169" s="10">
        <v>1295</v>
      </c>
      <c r="B1169" s="33" t="s">
        <v>221</v>
      </c>
      <c r="C1169" s="45" t="s">
        <v>1567</v>
      </c>
      <c r="D1169" s="37" t="s">
        <v>1557</v>
      </c>
      <c r="E1169" s="10"/>
      <c r="F1169" s="60" t="s">
        <v>52</v>
      </c>
      <c r="G1169" s="37" t="s">
        <v>1179</v>
      </c>
      <c r="H1169" s="75">
        <v>42257</v>
      </c>
      <c r="I1169" s="37" t="s">
        <v>1368</v>
      </c>
      <c r="J1169" s="15">
        <v>42258</v>
      </c>
      <c r="K1169" s="3"/>
    </row>
    <row r="1170" spans="1:11" x14ac:dyDescent="0.25">
      <c r="A1170" s="10">
        <v>1296</v>
      </c>
      <c r="B1170" s="4" t="s">
        <v>221</v>
      </c>
      <c r="C1170" s="24" t="s">
        <v>1556</v>
      </c>
      <c r="D1170" s="37" t="s">
        <v>1562</v>
      </c>
      <c r="E1170" s="10"/>
      <c r="F1170" s="60" t="s">
        <v>623</v>
      </c>
      <c r="G1170" s="37" t="s">
        <v>1563</v>
      </c>
      <c r="H1170" s="75">
        <v>42272</v>
      </c>
      <c r="I1170" s="37" t="s">
        <v>1368</v>
      </c>
      <c r="J1170" s="15">
        <v>42275</v>
      </c>
      <c r="K1170" s="3"/>
    </row>
    <row r="1171" spans="1:11" x14ac:dyDescent="0.25">
      <c r="A1171" s="10">
        <v>1297</v>
      </c>
      <c r="B1171" s="33" t="s">
        <v>221</v>
      </c>
      <c r="C1171" s="45" t="s">
        <v>1566</v>
      </c>
      <c r="D1171" s="37" t="s">
        <v>1562</v>
      </c>
      <c r="E1171" s="10"/>
      <c r="F1171" s="60" t="s">
        <v>623</v>
      </c>
      <c r="G1171" s="37" t="s">
        <v>1563</v>
      </c>
      <c r="H1171" s="75">
        <v>42272</v>
      </c>
      <c r="I1171" s="37" t="s">
        <v>1368</v>
      </c>
      <c r="J1171" s="15">
        <v>42275</v>
      </c>
      <c r="K1171" s="3"/>
    </row>
    <row r="1172" spans="1:11" x14ac:dyDescent="0.25">
      <c r="A1172" s="10">
        <v>1298</v>
      </c>
      <c r="B1172" s="33" t="s">
        <v>221</v>
      </c>
      <c r="C1172" s="45" t="s">
        <v>1565</v>
      </c>
      <c r="D1172" s="37" t="s">
        <v>1562</v>
      </c>
      <c r="E1172" s="10"/>
      <c r="F1172" s="60" t="s">
        <v>623</v>
      </c>
      <c r="G1172" s="37" t="s">
        <v>1563</v>
      </c>
      <c r="H1172" s="75">
        <v>42272</v>
      </c>
      <c r="I1172" s="37" t="s">
        <v>1368</v>
      </c>
      <c r="J1172" s="15">
        <v>42275</v>
      </c>
      <c r="K1172" s="3"/>
    </row>
    <row r="1173" spans="1:11" x14ac:dyDescent="0.25">
      <c r="A1173" s="10">
        <v>1299</v>
      </c>
      <c r="B1173" s="33" t="s">
        <v>221</v>
      </c>
      <c r="C1173" s="45" t="s">
        <v>1564</v>
      </c>
      <c r="D1173" s="37" t="s">
        <v>1562</v>
      </c>
      <c r="E1173" s="10"/>
      <c r="F1173" s="60" t="s">
        <v>623</v>
      </c>
      <c r="G1173" s="37" t="s">
        <v>1563</v>
      </c>
      <c r="H1173" s="75">
        <v>42272</v>
      </c>
      <c r="I1173" s="37" t="s">
        <v>1368</v>
      </c>
      <c r="J1173" s="15">
        <v>42275</v>
      </c>
      <c r="K1173" s="3"/>
    </row>
    <row r="1174" spans="1:11" x14ac:dyDescent="0.25">
      <c r="A1174" s="10">
        <v>1300</v>
      </c>
      <c r="B1174" s="33" t="s">
        <v>221</v>
      </c>
      <c r="C1174" s="45" t="s">
        <v>1561</v>
      </c>
      <c r="D1174" s="37" t="s">
        <v>1562</v>
      </c>
      <c r="E1174" s="10"/>
      <c r="F1174" s="60" t="s">
        <v>623</v>
      </c>
      <c r="G1174" s="37" t="s">
        <v>1563</v>
      </c>
      <c r="H1174" s="75">
        <v>42272</v>
      </c>
      <c r="I1174" s="37" t="s">
        <v>1368</v>
      </c>
      <c r="J1174" s="15">
        <v>42275</v>
      </c>
      <c r="K1174" s="3"/>
    </row>
    <row r="1175" spans="1:11" x14ac:dyDescent="0.25">
      <c r="A1175" s="10">
        <v>1301</v>
      </c>
      <c r="B1175" s="33" t="s">
        <v>221</v>
      </c>
      <c r="C1175" s="45" t="s">
        <v>1560</v>
      </c>
      <c r="D1175" s="10">
        <v>8491</v>
      </c>
      <c r="E1175" s="10"/>
      <c r="F1175" s="60" t="s">
        <v>697</v>
      </c>
      <c r="G1175" s="37" t="s">
        <v>1201</v>
      </c>
      <c r="H1175" s="75">
        <v>42278</v>
      </c>
      <c r="I1175" s="37" t="s">
        <v>1368</v>
      </c>
      <c r="J1175" s="15">
        <v>42279</v>
      </c>
      <c r="K1175" s="3"/>
    </row>
    <row r="1176" spans="1:11" x14ac:dyDescent="0.25">
      <c r="A1176" s="10">
        <v>1302</v>
      </c>
      <c r="B1176" s="33" t="s">
        <v>221</v>
      </c>
      <c r="C1176" s="45" t="s">
        <v>1558</v>
      </c>
      <c r="D1176" s="37" t="s">
        <v>1559</v>
      </c>
      <c r="E1176" s="10"/>
      <c r="F1176" s="60" t="s">
        <v>727</v>
      </c>
      <c r="G1176" s="37" t="s">
        <v>1344</v>
      </c>
      <c r="H1176" s="75">
        <v>42290</v>
      </c>
      <c r="I1176" s="37" t="s">
        <v>1181</v>
      </c>
      <c r="J1176" s="15">
        <v>42291</v>
      </c>
      <c r="K1176" s="3"/>
    </row>
    <row r="1177" spans="1:11" x14ac:dyDescent="0.25">
      <c r="A1177" s="307">
        <v>1303</v>
      </c>
      <c r="B1177" s="309" t="s">
        <v>1507</v>
      </c>
      <c r="C1177" s="45" t="s">
        <v>1581</v>
      </c>
      <c r="D1177" s="311" t="s">
        <v>1580</v>
      </c>
      <c r="E1177" s="10"/>
      <c r="F1177" s="313" t="s">
        <v>1583</v>
      </c>
      <c r="G1177" s="311" t="s">
        <v>1179</v>
      </c>
      <c r="H1177" s="315">
        <v>42318</v>
      </c>
      <c r="I1177" s="311" t="s">
        <v>1181</v>
      </c>
      <c r="J1177" s="315">
        <v>42318</v>
      </c>
      <c r="K1177" s="43" t="s">
        <v>1584</v>
      </c>
    </row>
    <row r="1178" spans="1:11" x14ac:dyDescent="0.25">
      <c r="A1178" s="308"/>
      <c r="B1178" s="310"/>
      <c r="C1178" s="45" t="s">
        <v>1582</v>
      </c>
      <c r="D1178" s="312"/>
      <c r="E1178" s="10"/>
      <c r="F1178" s="314"/>
      <c r="G1178" s="312"/>
      <c r="H1178" s="316"/>
      <c r="I1178" s="312"/>
      <c r="J1178" s="316"/>
      <c r="K1178" s="3"/>
    </row>
    <row r="1179" spans="1:11" x14ac:dyDescent="0.25">
      <c r="A1179" s="10">
        <v>1304</v>
      </c>
      <c r="B1179" s="33" t="s">
        <v>221</v>
      </c>
      <c r="C1179" s="45" t="s">
        <v>1586</v>
      </c>
      <c r="D1179" s="37" t="s">
        <v>1585</v>
      </c>
      <c r="E1179" s="10"/>
      <c r="F1179" s="60" t="s">
        <v>623</v>
      </c>
      <c r="G1179" s="37" t="s">
        <v>1344</v>
      </c>
      <c r="H1179" s="75">
        <v>42334</v>
      </c>
      <c r="I1179" s="37" t="s">
        <v>1181</v>
      </c>
      <c r="J1179" s="15">
        <v>42339</v>
      </c>
      <c r="K1179" s="3"/>
    </row>
    <row r="1180" spans="1:11" x14ac:dyDescent="0.25">
      <c r="A1180" s="10">
        <v>1305</v>
      </c>
      <c r="B1180" s="33" t="s">
        <v>257</v>
      </c>
      <c r="C1180" s="45" t="s">
        <v>1587</v>
      </c>
      <c r="D1180" s="10">
        <v>8503</v>
      </c>
      <c r="E1180" s="10"/>
      <c r="F1180" s="60" t="s">
        <v>27</v>
      </c>
      <c r="G1180" s="37" t="s">
        <v>1179</v>
      </c>
      <c r="H1180" s="75">
        <v>42338</v>
      </c>
      <c r="I1180" s="37" t="s">
        <v>1368</v>
      </c>
      <c r="J1180" s="15">
        <v>42339</v>
      </c>
      <c r="K1180" s="43" t="s">
        <v>1588</v>
      </c>
    </row>
    <row r="1181" spans="1:11" x14ac:dyDescent="0.25">
      <c r="A1181" s="37" t="s">
        <v>557</v>
      </c>
      <c r="B1181" s="33" t="s">
        <v>221</v>
      </c>
      <c r="C1181" s="45" t="s">
        <v>1590</v>
      </c>
      <c r="D1181" s="10">
        <v>752807</v>
      </c>
      <c r="E1181" s="10"/>
      <c r="F1181" s="60" t="s">
        <v>1589</v>
      </c>
      <c r="G1181" s="37" t="s">
        <v>1179</v>
      </c>
      <c r="H1181" s="75">
        <v>42341</v>
      </c>
      <c r="I1181" s="37" t="s">
        <v>1368</v>
      </c>
      <c r="J1181" s="15">
        <v>42342</v>
      </c>
      <c r="K1181" s="3"/>
    </row>
    <row r="1182" spans="1:11" x14ac:dyDescent="0.25">
      <c r="A1182" s="37" t="s">
        <v>557</v>
      </c>
      <c r="B1182" s="33" t="s">
        <v>221</v>
      </c>
      <c r="C1182" s="45" t="s">
        <v>1591</v>
      </c>
      <c r="D1182" s="10"/>
      <c r="E1182" s="10"/>
      <c r="F1182" s="60"/>
      <c r="G1182" s="37"/>
      <c r="H1182" s="75"/>
      <c r="I1182" s="37"/>
      <c r="J1182" s="15"/>
      <c r="K1182" s="3"/>
    </row>
    <row r="1183" spans="1:11" x14ac:dyDescent="0.25">
      <c r="A1183" s="37" t="s">
        <v>557</v>
      </c>
      <c r="B1183" s="33" t="s">
        <v>221</v>
      </c>
      <c r="C1183" s="45" t="s">
        <v>1592</v>
      </c>
      <c r="D1183" s="10">
        <v>752807</v>
      </c>
      <c r="E1183" s="10"/>
      <c r="F1183" s="60" t="s">
        <v>1589</v>
      </c>
      <c r="G1183" s="37" t="s">
        <v>1179</v>
      </c>
      <c r="H1183" s="75">
        <v>42341</v>
      </c>
      <c r="I1183" s="37" t="s">
        <v>1368</v>
      </c>
      <c r="J1183" s="15">
        <v>42342</v>
      </c>
      <c r="K1183" s="3"/>
    </row>
    <row r="1184" spans="1:11" x14ac:dyDescent="0.25">
      <c r="A1184" s="37" t="s">
        <v>557</v>
      </c>
      <c r="B1184" s="33" t="s">
        <v>221</v>
      </c>
      <c r="C1184" s="45" t="s">
        <v>1593</v>
      </c>
      <c r="D1184" s="10">
        <v>752807</v>
      </c>
      <c r="E1184" s="10"/>
      <c r="F1184" s="60" t="s">
        <v>1589</v>
      </c>
      <c r="G1184" s="37" t="s">
        <v>1179</v>
      </c>
      <c r="H1184" s="75">
        <v>42341</v>
      </c>
      <c r="I1184" s="37" t="s">
        <v>1368</v>
      </c>
      <c r="J1184" s="15">
        <v>42342</v>
      </c>
      <c r="K1184" s="3"/>
    </row>
    <row r="1185" spans="1:11" x14ac:dyDescent="0.25">
      <c r="A1185" s="37" t="s">
        <v>557</v>
      </c>
      <c r="B1185" s="33" t="s">
        <v>257</v>
      </c>
      <c r="C1185" s="45" t="s">
        <v>1594</v>
      </c>
      <c r="D1185" s="37" t="s">
        <v>1596</v>
      </c>
      <c r="E1185" s="10"/>
      <c r="F1185" s="60" t="s">
        <v>1597</v>
      </c>
      <c r="G1185" s="37" t="s">
        <v>1179</v>
      </c>
      <c r="H1185" s="75">
        <v>42347</v>
      </c>
      <c r="I1185" s="37" t="s">
        <v>1368</v>
      </c>
      <c r="J1185" s="15">
        <v>42354</v>
      </c>
      <c r="K1185" s="43" t="s">
        <v>1598</v>
      </c>
    </row>
    <row r="1186" spans="1:11" x14ac:dyDescent="0.25">
      <c r="A1186" s="37" t="s">
        <v>557</v>
      </c>
      <c r="B1186" s="33" t="s">
        <v>257</v>
      </c>
      <c r="C1186" s="45" t="s">
        <v>1595</v>
      </c>
      <c r="D1186" s="37" t="s">
        <v>1596</v>
      </c>
      <c r="E1186" s="10"/>
      <c r="F1186" s="60" t="s">
        <v>1597</v>
      </c>
      <c r="G1186" s="37" t="s">
        <v>1179</v>
      </c>
      <c r="H1186" s="75">
        <v>42347</v>
      </c>
      <c r="I1186" s="37" t="s">
        <v>1368</v>
      </c>
      <c r="J1186" s="15">
        <v>42354</v>
      </c>
      <c r="K1186" s="43" t="s">
        <v>1598</v>
      </c>
    </row>
    <row r="1187" spans="1:11" x14ac:dyDescent="0.25">
      <c r="A1187" s="307">
        <v>1306</v>
      </c>
      <c r="B1187" s="309" t="s">
        <v>257</v>
      </c>
      <c r="C1187" s="45" t="s">
        <v>1599</v>
      </c>
      <c r="D1187" s="311" t="s">
        <v>1601</v>
      </c>
      <c r="E1187" s="10"/>
      <c r="F1187" s="311" t="s">
        <v>33</v>
      </c>
      <c r="G1187" s="311" t="s">
        <v>1202</v>
      </c>
      <c r="H1187" s="315">
        <v>42388</v>
      </c>
      <c r="I1187" s="311" t="s">
        <v>1368</v>
      </c>
      <c r="J1187" s="311" t="s">
        <v>1602</v>
      </c>
      <c r="K1187" s="309" t="s">
        <v>1603</v>
      </c>
    </row>
    <row r="1188" spans="1:11" x14ac:dyDescent="0.25">
      <c r="A1188" s="308"/>
      <c r="B1188" s="310"/>
      <c r="C1188" s="80" t="s">
        <v>1600</v>
      </c>
      <c r="D1188" s="312"/>
      <c r="E1188" s="10"/>
      <c r="F1188" s="312"/>
      <c r="G1188" s="312"/>
      <c r="H1188" s="316"/>
      <c r="I1188" s="312"/>
      <c r="J1188" s="312"/>
      <c r="K1188" s="310"/>
    </row>
    <row r="1189" spans="1:11" x14ac:dyDescent="0.25">
      <c r="A1189" s="307">
        <v>1307</v>
      </c>
      <c r="B1189" s="309" t="s">
        <v>257</v>
      </c>
      <c r="C1189" s="45" t="s">
        <v>1604</v>
      </c>
      <c r="D1189" s="311" t="s">
        <v>1601</v>
      </c>
      <c r="E1189" s="10"/>
      <c r="F1189" s="311" t="s">
        <v>33</v>
      </c>
      <c r="G1189" s="311" t="s">
        <v>1202</v>
      </c>
      <c r="H1189" s="315">
        <v>42388</v>
      </c>
      <c r="I1189" s="311" t="s">
        <v>1368</v>
      </c>
      <c r="J1189" s="311" t="s">
        <v>1602</v>
      </c>
      <c r="K1189" s="309" t="s">
        <v>1606</v>
      </c>
    </row>
    <row r="1190" spans="1:11" x14ac:dyDescent="0.25">
      <c r="A1190" s="308"/>
      <c r="B1190" s="310"/>
      <c r="C1190" s="80" t="s">
        <v>1605</v>
      </c>
      <c r="D1190" s="312"/>
      <c r="E1190" s="10"/>
      <c r="F1190" s="312"/>
      <c r="G1190" s="312"/>
      <c r="H1190" s="316"/>
      <c r="I1190" s="312"/>
      <c r="J1190" s="312"/>
      <c r="K1190" s="310"/>
    </row>
    <row r="1191" spans="1:11" x14ac:dyDescent="0.25">
      <c r="A1191" s="10">
        <v>8372</v>
      </c>
      <c r="B1191" s="4" t="s">
        <v>257</v>
      </c>
      <c r="C1191" s="24" t="s">
        <v>1607</v>
      </c>
      <c r="D1191" s="10"/>
      <c r="E1191" s="10"/>
      <c r="F1191" s="64"/>
      <c r="G1191" s="10"/>
      <c r="H1191" s="16"/>
      <c r="I1191" s="10"/>
      <c r="J1191" s="10"/>
      <c r="K1191" s="3"/>
    </row>
    <row r="1192" spans="1:11" x14ac:dyDescent="0.25">
      <c r="A1192" s="10"/>
      <c r="B1192" s="4"/>
      <c r="C1192" s="24"/>
      <c r="D1192" s="10"/>
      <c r="E1192" s="10"/>
      <c r="F1192" s="64"/>
      <c r="G1192" s="10"/>
      <c r="H1192" s="16"/>
      <c r="I1192" s="10"/>
      <c r="J1192" s="10"/>
      <c r="K1192" s="3"/>
    </row>
    <row r="1193" spans="1:11" x14ac:dyDescent="0.25">
      <c r="A1193" s="10"/>
      <c r="B1193" s="4"/>
      <c r="C1193" s="24"/>
      <c r="D1193" s="10"/>
      <c r="E1193" s="10"/>
      <c r="F1193" s="64"/>
      <c r="G1193" s="10"/>
      <c r="H1193" s="16"/>
      <c r="I1193" s="10"/>
      <c r="J1193" s="10"/>
      <c r="K1193" s="3"/>
    </row>
    <row r="1194" spans="1:11" x14ac:dyDescent="0.25">
      <c r="A1194" s="10"/>
      <c r="B1194" s="4"/>
      <c r="C1194" s="24"/>
      <c r="D1194" s="10"/>
      <c r="E1194" s="10"/>
      <c r="F1194" s="64"/>
      <c r="G1194" s="10"/>
      <c r="H1194" s="16"/>
      <c r="I1194" s="10"/>
      <c r="J1194" s="10"/>
      <c r="K1194" s="3"/>
    </row>
    <row r="1195" spans="1:11" x14ac:dyDescent="0.25">
      <c r="A1195" s="10"/>
      <c r="B1195" s="4"/>
      <c r="C1195" s="24"/>
      <c r="D1195" s="10"/>
      <c r="E1195" s="10"/>
      <c r="F1195" s="64"/>
      <c r="G1195" s="10"/>
      <c r="H1195" s="16"/>
      <c r="I1195" s="10"/>
      <c r="J1195" s="10"/>
      <c r="K1195" s="3"/>
    </row>
    <row r="1196" spans="1:11" x14ac:dyDescent="0.25">
      <c r="A1196" s="10"/>
      <c r="B1196" s="4"/>
      <c r="C1196" s="24"/>
      <c r="D1196" s="10"/>
      <c r="E1196" s="10"/>
      <c r="F1196" s="64"/>
      <c r="G1196" s="10"/>
      <c r="H1196" s="16"/>
      <c r="I1196" s="10"/>
      <c r="J1196" s="10"/>
      <c r="K1196" s="3"/>
    </row>
    <row r="1197" spans="1:11" x14ac:dyDescent="0.25">
      <c r="A1197" s="10"/>
      <c r="B1197" s="4"/>
      <c r="C1197" s="24"/>
      <c r="D1197" s="10"/>
      <c r="E1197" s="10"/>
      <c r="F1197" s="64"/>
      <c r="G1197" s="10"/>
      <c r="H1197" s="16"/>
      <c r="I1197" s="10"/>
      <c r="J1197" s="10"/>
      <c r="K1197" s="3"/>
    </row>
    <row r="1198" spans="1:11" x14ac:dyDescent="0.25">
      <c r="A1198" s="10"/>
      <c r="B1198" s="4"/>
      <c r="C1198" s="24"/>
      <c r="D1198" s="10"/>
      <c r="E1198" s="10"/>
      <c r="F1198" s="64"/>
      <c r="G1198" s="10"/>
      <c r="H1198" s="16"/>
      <c r="I1198" s="10"/>
      <c r="J1198" s="10"/>
      <c r="K1198" s="3"/>
    </row>
    <row r="1199" spans="1:11" x14ac:dyDescent="0.25">
      <c r="A1199" s="10"/>
      <c r="B1199" s="4"/>
      <c r="C1199" s="24"/>
      <c r="D1199" s="10"/>
      <c r="E1199" s="10"/>
      <c r="F1199" s="64"/>
      <c r="G1199" s="10"/>
      <c r="H1199" s="16"/>
      <c r="I1199" s="10"/>
      <c r="J1199" s="10"/>
      <c r="K1199" s="3"/>
    </row>
    <row r="1200" spans="1:11" x14ac:dyDescent="0.25">
      <c r="A1200" s="10"/>
      <c r="B1200" s="4"/>
      <c r="C1200" s="24"/>
      <c r="D1200" s="10"/>
      <c r="E1200" s="10"/>
      <c r="F1200" s="64"/>
      <c r="G1200" s="10"/>
      <c r="H1200" s="16"/>
      <c r="I1200" s="10"/>
      <c r="J1200" s="10"/>
      <c r="K1200" s="3"/>
    </row>
  </sheetData>
  <autoFilter ref="A4:P1160"/>
  <mergeCells count="27">
    <mergeCell ref="A1187:A1188"/>
    <mergeCell ref="A1189:A1190"/>
    <mergeCell ref="B1189:B1190"/>
    <mergeCell ref="D1189:D1190"/>
    <mergeCell ref="F1189:F1190"/>
    <mergeCell ref="G1189:G1190"/>
    <mergeCell ref="I1189:I1190"/>
    <mergeCell ref="J1189:J1190"/>
    <mergeCell ref="K1189:K1190"/>
    <mergeCell ref="B1187:B1188"/>
    <mergeCell ref="K1187:K1188"/>
    <mergeCell ref="D1187:D1188"/>
    <mergeCell ref="F1187:F1188"/>
    <mergeCell ref="G1187:G1188"/>
    <mergeCell ref="H1187:H1188"/>
    <mergeCell ref="J1187:J1188"/>
    <mergeCell ref="I1187:I1188"/>
    <mergeCell ref="H1189:H1190"/>
    <mergeCell ref="A2:K2"/>
    <mergeCell ref="A1177:A1178"/>
    <mergeCell ref="B1177:B1178"/>
    <mergeCell ref="D1177:D1178"/>
    <mergeCell ref="F1177:F1178"/>
    <mergeCell ref="G1177:G1178"/>
    <mergeCell ref="H1177:H1178"/>
    <mergeCell ref="I1177:I1178"/>
    <mergeCell ref="J1177:J1178"/>
  </mergeCells>
  <phoneticPr fontId="4" type="noConversion"/>
  <pageMargins left="0.75" right="0.75" top="1" bottom="1" header="0.5" footer="0.5"/>
  <pageSetup paperSize="8" scale="87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T101"/>
  <sheetViews>
    <sheetView topLeftCell="U1" zoomScale="85" zoomScaleNormal="85" workbookViewId="0">
      <pane ySplit="3" topLeftCell="A4" activePane="bottomLeft" state="frozen"/>
      <selection pane="bottomLeft" activeCell="AJ41" sqref="AJ41"/>
    </sheetView>
  </sheetViews>
  <sheetFormatPr defaultRowHeight="12.5" x14ac:dyDescent="0.25"/>
  <cols>
    <col min="1" max="1" width="19.453125" style="243" bestFit="1" customWidth="1"/>
    <col min="2" max="2" width="15.54296875" customWidth="1"/>
    <col min="3" max="3" width="13.54296875" customWidth="1"/>
    <col min="4" max="4" width="18.54296875" customWidth="1"/>
    <col min="5" max="5" width="14.54296875" bestFit="1" customWidth="1"/>
    <col min="6" max="6" width="15.453125" style="243" customWidth="1"/>
    <col min="7" max="7" width="12.54296875" customWidth="1"/>
    <col min="8" max="8" width="11.54296875" customWidth="1"/>
    <col min="9" max="9" width="18.453125" customWidth="1"/>
    <col min="10" max="10" width="18" customWidth="1"/>
    <col min="11" max="11" width="14.26953125" style="139" customWidth="1"/>
    <col min="12" max="12" width="11.54296875" customWidth="1"/>
    <col min="13" max="13" width="11" bestFit="1" customWidth="1"/>
    <col min="14" max="14" width="17.54296875" style="261" customWidth="1"/>
    <col min="15" max="15" width="11" customWidth="1"/>
    <col min="16" max="16" width="16.453125" style="139" customWidth="1"/>
    <col min="17" max="17" width="13.453125" bestFit="1" customWidth="1"/>
    <col min="18" max="18" width="12.453125" bestFit="1" customWidth="1"/>
    <col min="19" max="19" width="20.453125" customWidth="1"/>
    <col min="20" max="20" width="21.54296875" customWidth="1"/>
    <col min="21" max="21" width="8.54296875" customWidth="1"/>
    <col min="22" max="22" width="12.453125" style="139" customWidth="1"/>
    <col min="23" max="23" width="11.453125" customWidth="1"/>
    <col min="24" max="24" width="15" style="261" customWidth="1"/>
    <col min="25" max="25" width="21" customWidth="1"/>
    <col min="26" max="26" width="19.7265625" customWidth="1"/>
    <col min="27" max="27" width="12.453125" customWidth="1"/>
    <col min="28" max="28" width="11.54296875" customWidth="1"/>
    <col min="29" max="29" width="12" bestFit="1" customWidth="1"/>
    <col min="30" max="30" width="12.453125" customWidth="1"/>
    <col min="31" max="34" width="12.453125" bestFit="1" customWidth="1"/>
    <col min="35" max="35" width="15.54296875" customWidth="1"/>
    <col min="36" max="37" width="14.54296875" customWidth="1"/>
    <col min="38" max="38" width="17.54296875" customWidth="1"/>
    <col min="39" max="39" width="11.453125" customWidth="1"/>
    <col min="40" max="40" width="14.54296875" customWidth="1"/>
    <col min="41" max="41" width="17.54296875" customWidth="1"/>
    <col min="42" max="42" width="15.54296875" customWidth="1"/>
    <col min="43" max="43" width="25.453125" customWidth="1"/>
    <col min="44" max="45" width="20.54296875" customWidth="1"/>
    <col min="46" max="46" width="25.54296875" customWidth="1"/>
  </cols>
  <sheetData>
    <row r="1" spans="1:46" ht="13" x14ac:dyDescent="0.25">
      <c r="A1" s="317" t="s">
        <v>1651</v>
      </c>
      <c r="B1" s="317"/>
      <c r="C1" s="317"/>
      <c r="D1" s="317"/>
      <c r="E1" s="317"/>
      <c r="F1" s="317"/>
      <c r="G1" s="317"/>
      <c r="H1" s="317"/>
      <c r="I1" s="157"/>
      <c r="J1" s="154"/>
      <c r="K1" s="319" t="s">
        <v>1653</v>
      </c>
      <c r="L1" s="319"/>
      <c r="M1" s="319"/>
      <c r="N1" s="319"/>
      <c r="O1" s="319"/>
      <c r="P1" s="319"/>
      <c r="Q1" s="319"/>
      <c r="R1" s="319"/>
      <c r="S1" s="319"/>
      <c r="T1" s="319"/>
      <c r="U1" s="320" t="s">
        <v>1671</v>
      </c>
      <c r="V1" s="320"/>
      <c r="W1" s="320"/>
      <c r="X1" s="320"/>
      <c r="Y1" s="320"/>
      <c r="Z1" s="320"/>
      <c r="AA1" s="320"/>
      <c r="AB1" s="320"/>
      <c r="AC1" s="320"/>
      <c r="AD1" s="320"/>
      <c r="AE1" s="320"/>
      <c r="AF1" s="320"/>
      <c r="AG1" s="320"/>
      <c r="AH1" s="320"/>
      <c r="AI1" s="321" t="s">
        <v>1665</v>
      </c>
      <c r="AJ1" s="321"/>
      <c r="AK1" s="321"/>
      <c r="AL1" s="321"/>
      <c r="AM1" s="321"/>
      <c r="AN1" s="321"/>
      <c r="AO1" s="321"/>
      <c r="AP1" s="321"/>
      <c r="AQ1" s="321"/>
      <c r="AR1" s="321"/>
      <c r="AS1" s="321"/>
      <c r="AT1" s="321"/>
    </row>
    <row r="2" spans="1:46" ht="13" x14ac:dyDescent="0.25">
      <c r="A2" s="318"/>
      <c r="B2" s="318"/>
      <c r="C2" s="318"/>
      <c r="D2" s="318"/>
      <c r="E2" s="318"/>
      <c r="F2" s="318"/>
      <c r="G2" s="318"/>
      <c r="H2" s="318"/>
      <c r="I2" s="155"/>
      <c r="J2" s="155"/>
      <c r="K2" s="319"/>
      <c r="L2" s="319"/>
      <c r="M2" s="319"/>
      <c r="N2" s="319"/>
      <c r="O2" s="319"/>
      <c r="P2" s="319"/>
      <c r="Q2" s="319"/>
      <c r="R2" s="319"/>
      <c r="S2" s="319"/>
      <c r="T2" s="319"/>
      <c r="U2" s="320"/>
      <c r="V2" s="320"/>
      <c r="W2" s="320"/>
      <c r="X2" s="320"/>
      <c r="Y2" s="320"/>
      <c r="Z2" s="320"/>
      <c r="AA2" s="320"/>
      <c r="AB2" s="320"/>
      <c r="AC2" s="320"/>
      <c r="AD2" s="320"/>
      <c r="AE2" s="320"/>
      <c r="AF2" s="320"/>
      <c r="AG2" s="320"/>
      <c r="AH2" s="320"/>
      <c r="AI2" s="321"/>
      <c r="AJ2" s="321"/>
      <c r="AK2" s="321"/>
      <c r="AL2" s="321"/>
      <c r="AM2" s="321"/>
      <c r="AN2" s="321"/>
      <c r="AO2" s="321"/>
      <c r="AP2" s="321"/>
      <c r="AQ2" s="321"/>
      <c r="AR2" s="321"/>
      <c r="AS2" s="321"/>
      <c r="AT2" s="321"/>
    </row>
    <row r="3" spans="1:46" ht="39" x14ac:dyDescent="0.25">
      <c r="A3" s="241" t="s">
        <v>692</v>
      </c>
      <c r="B3" s="123" t="s">
        <v>1705</v>
      </c>
      <c r="C3" s="123" t="s">
        <v>1652</v>
      </c>
      <c r="D3" s="124" t="s">
        <v>2</v>
      </c>
      <c r="E3" s="124" t="s">
        <v>1637</v>
      </c>
      <c r="F3" s="245" t="s">
        <v>1613</v>
      </c>
      <c r="G3" s="176" t="s">
        <v>1633</v>
      </c>
      <c r="H3" s="177" t="s">
        <v>1650</v>
      </c>
      <c r="I3" s="153" t="s">
        <v>1661</v>
      </c>
      <c r="J3" s="156" t="s">
        <v>1662</v>
      </c>
      <c r="K3" s="215" t="s">
        <v>1654</v>
      </c>
      <c r="L3" s="158" t="s">
        <v>1761</v>
      </c>
      <c r="M3" s="158" t="s">
        <v>1652</v>
      </c>
      <c r="N3" s="259" t="s">
        <v>1655</v>
      </c>
      <c r="O3" s="159" t="s">
        <v>1637</v>
      </c>
      <c r="P3" s="217" t="s">
        <v>1613</v>
      </c>
      <c r="Q3" s="159" t="s">
        <v>1656</v>
      </c>
      <c r="R3" s="159" t="s">
        <v>1770</v>
      </c>
      <c r="S3" s="159" t="s">
        <v>1664</v>
      </c>
      <c r="T3" s="159" t="s">
        <v>1663</v>
      </c>
      <c r="U3" s="163" t="s">
        <v>1657</v>
      </c>
      <c r="V3" s="216" t="s">
        <v>1654</v>
      </c>
      <c r="W3" s="163" t="s">
        <v>1652</v>
      </c>
      <c r="X3" s="289" t="s">
        <v>1658</v>
      </c>
      <c r="Y3" s="163" t="s">
        <v>1659</v>
      </c>
      <c r="Z3" s="163" t="s">
        <v>1660</v>
      </c>
      <c r="AA3" s="163" t="s">
        <v>1771</v>
      </c>
      <c r="AB3" s="163" t="s">
        <v>1672</v>
      </c>
      <c r="AC3" s="163" t="s">
        <v>1637</v>
      </c>
      <c r="AD3" s="163" t="s">
        <v>1664</v>
      </c>
      <c r="AE3" s="163" t="s">
        <v>1667</v>
      </c>
      <c r="AF3" s="163" t="s">
        <v>1668</v>
      </c>
      <c r="AG3" s="163" t="s">
        <v>1669</v>
      </c>
      <c r="AH3" s="163" t="s">
        <v>1670</v>
      </c>
      <c r="AI3" s="160" t="s">
        <v>1704</v>
      </c>
      <c r="AJ3" s="160" t="s">
        <v>1666</v>
      </c>
      <c r="AK3" s="160" t="s">
        <v>1673</v>
      </c>
      <c r="AL3" s="160" t="s">
        <v>1699</v>
      </c>
      <c r="AM3" s="161" t="s">
        <v>3</v>
      </c>
      <c r="AN3" s="161" t="s">
        <v>4</v>
      </c>
      <c r="AO3" s="161" t="s">
        <v>1622</v>
      </c>
      <c r="AP3" s="161" t="s">
        <v>5</v>
      </c>
      <c r="AQ3" s="162" t="s">
        <v>1615</v>
      </c>
      <c r="AR3" s="162" t="s">
        <v>194</v>
      </c>
      <c r="AS3" s="162" t="s">
        <v>195</v>
      </c>
      <c r="AT3" s="161" t="s">
        <v>6</v>
      </c>
    </row>
    <row r="4" spans="1:46" x14ac:dyDescent="0.25">
      <c r="A4" s="242"/>
      <c r="B4" s="179"/>
      <c r="C4" s="179"/>
      <c r="D4" s="180"/>
      <c r="E4" s="180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F4" s="246"/>
      <c r="G4" s="184"/>
      <c r="H4" s="183"/>
      <c r="I4" s="230" t="str">
        <f>IF(VAP100AE[[#This Row],[Type]]="VAP100A",IF(VAP100AE[[#This Row],[TP0054]]="PASS",IF(E4=0,IF(E4="","",D4),""),""),"")</f>
        <v/>
      </c>
      <c r="J4" s="180" t="str">
        <f>IF(VAP100AE[[#This Row],[Type]]="VAP100E",IF(VAP100AE[[#This Row],[TP0054]]="PASS",IF(E4=0,IF(E4="","",D4),""),""),"")</f>
        <v/>
      </c>
      <c r="K4" s="178"/>
      <c r="L4" s="185"/>
      <c r="M4" s="185"/>
      <c r="N4" s="260"/>
      <c r="O4" s="180">
        <f>IF(AND(COUNTIF(Assembly[Membrane SN],Membranes[[#This Row],[Sub-contractor SN]])=1,Membranes[[#This Row],[QAI0006]]="PASS"),1,0)</f>
        <v>0</v>
      </c>
      <c r="P4" s="182"/>
      <c r="Q4" s="183"/>
      <c r="R4" s="183"/>
      <c r="S4" s="185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T4" s="180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U4" s="180"/>
      <c r="V4" s="178"/>
      <c r="W4" s="180"/>
      <c r="X4" s="290"/>
      <c r="Y4" s="183"/>
      <c r="Z4" s="183"/>
      <c r="AA4" s="183"/>
      <c r="AB4" s="183"/>
      <c r="AC4" s="180">
        <f>IF(AND(COUNTIF(VAP_Destination[ID/SN],Assembly[[#This Row],[ID]])=1,Assembly[[#This Row],[TP0094/96]]="PASS",Assembly[[#This Row],[QAI0008/9]]="PASS"),1,0)</f>
        <v>0</v>
      </c>
      <c r="AD4" s="185" t="str">
        <f>IF(Assembly[[#This Row],[Type]]="DX3MC16",IF(AND(Assembly[[#This Row],[TP0094/96]]="PASS",Assembly[[#This Row],[QAI0008/9]]="PASS"),IF(Assembly[[#This Row],[Assigned]]=0,IF(Assembly[[#This Row],[Assigned]]="","",Assembly[[#This Row],[ID]]),""),""),"")</f>
        <v/>
      </c>
      <c r="AE4" s="185" t="str">
        <f>IF(Assembly[[#This Row],[Type]]="VAP30 A1",IF(AND(Assembly[[#This Row],[TP0094/96]]="PASS",Assembly[[#This Row],[QAI0008/9]]="PASS"),IF(Assembly[[#This Row],[Assigned]]=0,IF(Assembly[[#This Row],[Assigned]]="","",Assembly[[#This Row],[ID]]),""),""),"")</f>
        <v/>
      </c>
      <c r="AF4" s="185" t="str">
        <f>IF(Assembly[[#This Row],[Type]]="VAP30 A2",IF(AND(Assembly[[#This Row],[TP0094/96]]="PASS",Assembly[[#This Row],[QAI0008/9]]="PASS"),IF(Assembly[[#This Row],[Assigned]]=0,IF(Assembly[[#This Row],[Assigned]]="","",Assembly[[#This Row],[ID]]),""),""),"")</f>
        <v/>
      </c>
      <c r="AG4" s="185" t="str">
        <f>IF(Assembly[[#This Row],[Type]]="VAP30 E1",IF(AND(Assembly[[#This Row],[TP0094/96]]="PASS",Assembly[[#This Row],[QAI0008/9]]="PASS"),IF(Assembly[[#This Row],[Assigned]]=0,IF(Assembly[[#This Row],[Assigned]]="","",Assembly[[#This Row],[ID]]),""),""),"")</f>
        <v/>
      </c>
      <c r="AH4" s="185" t="str">
        <f>IF(Assembly[[#This Row],[Type]]="VAP30 E2",IF(AND(Assembly[[#This Row],[TP0094/96]]="PASS",Assembly[[#This Row],[QAI0008/9]]="PASS"),IF(Assembly[[#This Row],[Assigned]]=0,IF(Assembly[[#This Row],[Assigned]]="","",Assembly[[#This Row],[ID]]),""),""),"")</f>
        <v/>
      </c>
      <c r="AI4" s="238">
        <v>0</v>
      </c>
      <c r="AJ4" s="235"/>
      <c r="AK4" s="235"/>
      <c r="AL4" s="235"/>
      <c r="AM4" s="236"/>
      <c r="AN4" s="236"/>
      <c r="AO4" s="236"/>
      <c r="AP4" s="236"/>
      <c r="AQ4" s="237"/>
      <c r="AR4" s="237"/>
      <c r="AS4" s="237"/>
      <c r="AT4" s="240"/>
    </row>
    <row r="5" spans="1:46" s="34" customFormat="1" ht="25" x14ac:dyDescent="0.25">
      <c r="A5" s="263">
        <v>43808</v>
      </c>
      <c r="B5" s="264" t="s">
        <v>1788</v>
      </c>
      <c r="C5" s="265" t="s">
        <v>1507</v>
      </c>
      <c r="D5" s="264" t="s">
        <v>1837</v>
      </c>
      <c r="E5" s="267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F5" s="268">
        <v>44124</v>
      </c>
      <c r="G5" s="269" t="s">
        <v>1641</v>
      </c>
      <c r="H5" s="249" t="s">
        <v>1641</v>
      </c>
      <c r="I5" s="257" t="str">
        <f>IF(VAP100AE[[#This Row],[Type]]="VAP100A",IF(VAP100AE[[#This Row],[TP0054]]="PASS",IF(E5=0,IF(E5="","",D5),""),""),"")</f>
        <v/>
      </c>
      <c r="J5" s="267" t="str">
        <f>IF(VAP100AE[[#This Row],[Type]]="VAP100E",IF(VAP100AE[[#This Row],[TP0054]]="PASS",IF(E5=0,IF(E5="","",D5),""),""),"")</f>
        <v/>
      </c>
      <c r="K5" s="287">
        <v>41883</v>
      </c>
      <c r="L5" s="249">
        <v>111111</v>
      </c>
      <c r="M5" s="249" t="s">
        <v>564</v>
      </c>
      <c r="N5" s="288" t="s">
        <v>1808</v>
      </c>
      <c r="O5" s="267">
        <f>IF(AND(COUNTIF(Assembly[Membrane SN],Membranes[[#This Row],[Sub-contractor SN]])=1,Membranes[[#This Row],[QAI0006]]="PASS"),1,0)</f>
        <v>1</v>
      </c>
      <c r="P5" s="256">
        <v>44131</v>
      </c>
      <c r="Q5" s="249" t="s">
        <v>1641</v>
      </c>
      <c r="R5" s="249" t="s">
        <v>1641</v>
      </c>
      <c r="S5" s="257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T5" s="267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U5" s="304" t="s">
        <v>1810</v>
      </c>
      <c r="V5" s="287">
        <v>44134</v>
      </c>
      <c r="W5" s="304" t="s">
        <v>1811</v>
      </c>
      <c r="X5" s="305" t="s">
        <v>1806</v>
      </c>
      <c r="Y5" s="249" t="s">
        <v>1791</v>
      </c>
      <c r="Z5" s="249" t="s">
        <v>1837</v>
      </c>
      <c r="AA5" s="249" t="s">
        <v>1641</v>
      </c>
      <c r="AB5" s="249" t="s">
        <v>1641</v>
      </c>
      <c r="AC5" s="267">
        <f>IF(AND(COUNTIF(VAP_Destination[ID/SN],Assembly[[#This Row],[ID]])=1,Assembly[[#This Row],[TP0094/96]]="PASS",Assembly[[#This Row],[QAI0008/9]]="PASS"),1,0)</f>
        <v>1</v>
      </c>
      <c r="AD5" s="257" t="str">
        <f>IF(Assembly[[#This Row],[Type]]="DX3MC16",IF(AND(Assembly[[#This Row],[TP0094/96]]="PASS",Assembly[[#This Row],[QAI0008/9]]="PASS"),IF(Assembly[[#This Row],[Assigned]]=0,IF(Assembly[[#This Row],[Assigned]]="","",Assembly[[#This Row],[ID]]),""),""),"")</f>
        <v/>
      </c>
      <c r="AE5" s="257" t="str">
        <f>IF(Assembly[[#This Row],[Type]]="VAP30 A1",IF(AND(Assembly[[#This Row],[TP0094/96]]="PASS",Assembly[[#This Row],[QAI0008/9]]="PASS"),IF(Assembly[[#This Row],[Assigned]]=0,IF(Assembly[[#This Row],[Assigned]]="","",Assembly[[#This Row],[ID]]),""),""),"")</f>
        <v/>
      </c>
      <c r="AF5" s="257" t="str">
        <f>IF(Assembly[[#This Row],[Type]]="VAP30 A2",IF(AND(Assembly[[#This Row],[TP0094/96]]="PASS",Assembly[[#This Row],[QAI0008/9]]="PASS"),IF(Assembly[[#This Row],[Assigned]]=0,IF(Assembly[[#This Row],[Assigned]]="","",Assembly[[#This Row],[ID]]),""),""),"")</f>
        <v/>
      </c>
      <c r="AG5" s="257" t="str">
        <f>IF(Assembly[[#This Row],[Type]]="VAP30 E1",IF(AND(Assembly[[#This Row],[TP0094/96]]="PASS",Assembly[[#This Row],[QAI0008/9]]="PASS"),IF(Assembly[[#This Row],[Assigned]]=0,IF(Assembly[[#This Row],[Assigned]]="","",Assembly[[#This Row],[ID]]),""),""),"")</f>
        <v/>
      </c>
      <c r="AH5" s="257" t="str">
        <f>IF(Assembly[[#This Row],[Type]]="VAP30 E2",IF(AND(Assembly[[#This Row],[TP0094/96]]="PASS",Assembly[[#This Row],[QAI0008/9]]="PASS"),IF(Assembly[[#This Row],[Assigned]]=0,IF(Assembly[[#This Row],[Assigned]]="","",Assembly[[#This Row],[ID]]),""),""),"")</f>
        <v/>
      </c>
      <c r="AI5" s="238">
        <v>1</v>
      </c>
      <c r="AJ5" s="235" t="s">
        <v>1811</v>
      </c>
      <c r="AK5" s="235" t="s">
        <v>1844</v>
      </c>
      <c r="AL5" s="235" t="s">
        <v>1810</v>
      </c>
      <c r="AM5" s="236" t="s">
        <v>1845</v>
      </c>
      <c r="AN5" s="236" t="s">
        <v>1846</v>
      </c>
      <c r="AO5" s="236" t="s">
        <v>1849</v>
      </c>
      <c r="AP5" s="300">
        <v>44138</v>
      </c>
      <c r="AQ5" s="237" t="s">
        <v>1848</v>
      </c>
      <c r="AR5" s="237"/>
      <c r="AS5" s="237"/>
      <c r="AT5" s="240" t="s">
        <v>1851</v>
      </c>
    </row>
    <row r="6" spans="1:46" s="34" customFormat="1" ht="25" x14ac:dyDescent="0.25">
      <c r="A6" s="263">
        <v>43808</v>
      </c>
      <c r="B6" s="264" t="s">
        <v>1788</v>
      </c>
      <c r="C6" s="265" t="s">
        <v>1507</v>
      </c>
      <c r="D6" s="266" t="s">
        <v>1789</v>
      </c>
      <c r="E6" s="267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F6" s="268">
        <v>44124</v>
      </c>
      <c r="G6" s="269" t="s">
        <v>1641</v>
      </c>
      <c r="H6" s="249" t="s">
        <v>1641</v>
      </c>
      <c r="I6" s="257" t="str">
        <f>IF(VAP100AE[[#This Row],[Type]]="VAP100A",IF(VAP100AE[[#This Row],[TP0054]]="PASS",IF(E6=0,IF(E6="","",D6),""),""),"")</f>
        <v/>
      </c>
      <c r="J6" s="267" t="str">
        <f>IF(VAP100AE[[#This Row],[Type]]="VAP100E",IF(VAP100AE[[#This Row],[TP0054]]="PASS",IF(E6=0,IF(E6="","",D6),""),""),"")</f>
        <v/>
      </c>
      <c r="K6" s="287">
        <v>41883</v>
      </c>
      <c r="L6" s="249">
        <v>111111</v>
      </c>
      <c r="M6" s="249" t="s">
        <v>564</v>
      </c>
      <c r="N6" s="288" t="s">
        <v>1807</v>
      </c>
      <c r="O6" s="267">
        <f>IF(AND(COUNTIF(Assembly[Membrane SN],Membranes[[#This Row],[Sub-contractor SN]])=1,Membranes[[#This Row],[QAI0006]]="PASS"),1,0)</f>
        <v>1</v>
      </c>
      <c r="P6" s="256">
        <v>44131</v>
      </c>
      <c r="Q6" s="249" t="s">
        <v>1641</v>
      </c>
      <c r="R6" s="249" t="s">
        <v>1641</v>
      </c>
      <c r="S6" s="257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T6" s="267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U6" s="304" t="s">
        <v>1812</v>
      </c>
      <c r="V6" s="287">
        <v>44134</v>
      </c>
      <c r="W6" s="304" t="s">
        <v>1811</v>
      </c>
      <c r="X6" s="305" t="s">
        <v>1807</v>
      </c>
      <c r="Y6" s="249" t="s">
        <v>1792</v>
      </c>
      <c r="Z6" s="249" t="s">
        <v>1789</v>
      </c>
      <c r="AA6" s="249" t="s">
        <v>1641</v>
      </c>
      <c r="AB6" s="249" t="s">
        <v>1641</v>
      </c>
      <c r="AC6" s="267">
        <f>IF(AND(COUNTIF(VAP_Destination[ID/SN],Assembly[[#This Row],[ID]])=1,Assembly[[#This Row],[TP0094/96]]="PASS",Assembly[[#This Row],[QAI0008/9]]="PASS"),1,0)</f>
        <v>1</v>
      </c>
      <c r="AD6" s="257" t="str">
        <f>IF(Assembly[[#This Row],[Type]]="DX3MC16",IF(AND(Assembly[[#This Row],[TP0094/96]]="PASS",Assembly[[#This Row],[QAI0008/9]]="PASS"),IF(Assembly[[#This Row],[Assigned]]=0,IF(Assembly[[#This Row],[Assigned]]="","",Assembly[[#This Row],[ID]]),""),""),"")</f>
        <v/>
      </c>
      <c r="AE6" s="257" t="str">
        <f>IF(Assembly[[#This Row],[Type]]="VAP30 A1",IF(AND(Assembly[[#This Row],[TP0094/96]]="PASS",Assembly[[#This Row],[QAI0008/9]]="PASS"),IF(Assembly[[#This Row],[Assigned]]=0,IF(Assembly[[#This Row],[Assigned]]="","",Assembly[[#This Row],[ID]]),""),""),"")</f>
        <v/>
      </c>
      <c r="AF6" s="257" t="str">
        <f>IF(Assembly[[#This Row],[Type]]="VAP30 A2",IF(AND(Assembly[[#This Row],[TP0094/96]]="PASS",Assembly[[#This Row],[QAI0008/9]]="PASS"),IF(Assembly[[#This Row],[Assigned]]=0,IF(Assembly[[#This Row],[Assigned]]="","",Assembly[[#This Row],[ID]]),""),""),"")</f>
        <v/>
      </c>
      <c r="AG6" s="257" t="str">
        <f>IF(Assembly[[#This Row],[Type]]="VAP30 E1",IF(AND(Assembly[[#This Row],[TP0094/96]]="PASS",Assembly[[#This Row],[QAI0008/9]]="PASS"),IF(Assembly[[#This Row],[Assigned]]=0,IF(Assembly[[#This Row],[Assigned]]="","",Assembly[[#This Row],[ID]]),""),""),"")</f>
        <v/>
      </c>
      <c r="AH6" s="257" t="str">
        <f>IF(Assembly[[#This Row],[Type]]="VAP30 E2",IF(AND(Assembly[[#This Row],[TP0094/96]]="PASS",Assembly[[#This Row],[QAI0008/9]]="PASS"),IF(Assembly[[#This Row],[Assigned]]=0,IF(Assembly[[#This Row],[Assigned]]="","",Assembly[[#This Row],[ID]]),""),""),"")</f>
        <v/>
      </c>
      <c r="AI6" s="238">
        <v>2</v>
      </c>
      <c r="AJ6" s="235" t="s">
        <v>1811</v>
      </c>
      <c r="AK6" s="235" t="s">
        <v>1844</v>
      </c>
      <c r="AL6" s="235" t="s">
        <v>1812</v>
      </c>
      <c r="AM6" s="236" t="s">
        <v>1845</v>
      </c>
      <c r="AN6" s="236" t="s">
        <v>1846</v>
      </c>
      <c r="AO6" s="236" t="s">
        <v>1849</v>
      </c>
      <c r="AP6" s="300">
        <v>44138</v>
      </c>
      <c r="AQ6" s="237" t="s">
        <v>1848</v>
      </c>
      <c r="AR6" s="237"/>
      <c r="AS6" s="237"/>
      <c r="AT6" s="240" t="s">
        <v>1853</v>
      </c>
    </row>
    <row r="7" spans="1:46" s="34" customFormat="1" ht="25" x14ac:dyDescent="0.25">
      <c r="A7" s="263">
        <v>43808</v>
      </c>
      <c r="B7" s="264" t="s">
        <v>1788</v>
      </c>
      <c r="C7" s="265" t="s">
        <v>1507</v>
      </c>
      <c r="D7" s="266" t="s">
        <v>1790</v>
      </c>
      <c r="E7" s="267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F7" s="268">
        <v>44124</v>
      </c>
      <c r="G7" s="269" t="s">
        <v>1641</v>
      </c>
      <c r="H7" s="249" t="s">
        <v>1641</v>
      </c>
      <c r="I7" s="257" t="str">
        <f>IF(VAP100AE[[#This Row],[Type]]="VAP100A",IF(VAP100AE[[#This Row],[TP0054]]="PASS",IF(E7=0,IF(E7="","",D7),""),""),"")</f>
        <v/>
      </c>
      <c r="J7" s="267" t="str">
        <f>IF(VAP100AE[[#This Row],[Type]]="VAP100E",IF(VAP100AE[[#This Row],[TP0054]]="PASS",IF(E7=0,IF(E7="","",D7),""),""),"")</f>
        <v/>
      </c>
      <c r="K7" s="287">
        <v>41883</v>
      </c>
      <c r="L7" s="249">
        <v>111111</v>
      </c>
      <c r="M7" s="249" t="s">
        <v>564</v>
      </c>
      <c r="N7" s="288" t="s">
        <v>1806</v>
      </c>
      <c r="O7" s="267">
        <f>IF(AND(COUNTIF(Assembly[Membrane SN],Membranes[[#This Row],[Sub-contractor SN]])=1,Membranes[[#This Row],[QAI0006]]="PASS"),1,0)</f>
        <v>1</v>
      </c>
      <c r="P7" s="256">
        <v>44131</v>
      </c>
      <c r="Q7" s="249" t="s">
        <v>1641</v>
      </c>
      <c r="R7" s="249" t="s">
        <v>1641</v>
      </c>
      <c r="S7" s="257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T7" s="267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U7" s="301" t="s">
        <v>1833</v>
      </c>
      <c r="V7" s="302">
        <v>44134</v>
      </c>
      <c r="W7" s="301" t="s">
        <v>1811</v>
      </c>
      <c r="X7" s="303" t="s">
        <v>1808</v>
      </c>
      <c r="Y7" s="200" t="s">
        <v>1790</v>
      </c>
      <c r="Z7" s="200" t="s">
        <v>1793</v>
      </c>
      <c r="AA7" s="200" t="s">
        <v>1641</v>
      </c>
      <c r="AB7" s="200" t="s">
        <v>1641</v>
      </c>
      <c r="AC7" s="198">
        <f>IF(AND(COUNTIF(VAP_Destination[ID/SN],Assembly[[#This Row],[ID]])=1,Assembly[[#This Row],[TP0094/96]]="PASS",Assembly[[#This Row],[QAI0008/9]]="PASS"),1,0)</f>
        <v>0</v>
      </c>
      <c r="AD7" s="213" t="str">
        <f>IF(Assembly[[#This Row],[Type]]="DX3MC16",IF(AND(Assembly[[#This Row],[TP0094/96]]="PASS",Assembly[[#This Row],[QAI0008/9]]="PASS"),IF(Assembly[[#This Row],[Assigned]]=0,IF(Assembly[[#This Row],[Assigned]]="","",Assembly[[#This Row],[ID]]),""),""),"")</f>
        <v/>
      </c>
      <c r="AE7" s="213" t="str">
        <f>IF(Assembly[[#This Row],[Type]]="VAP30 A1",IF(AND(Assembly[[#This Row],[TP0094/96]]="PASS",Assembly[[#This Row],[QAI0008/9]]="PASS"),IF(Assembly[[#This Row],[Assigned]]=0,IF(Assembly[[#This Row],[Assigned]]="","",Assembly[[#This Row],[ID]]),""),""),"")</f>
        <v/>
      </c>
      <c r="AF7" s="213" t="str">
        <f>IF(Assembly[[#This Row],[Type]]="VAP30 A2",IF(AND(Assembly[[#This Row],[TP0094/96]]="PASS",Assembly[[#This Row],[QAI0008/9]]="PASS"),IF(Assembly[[#This Row],[Assigned]]=0,IF(Assembly[[#This Row],[Assigned]]="","",Assembly[[#This Row],[ID]]),""),""),"")</f>
        <v/>
      </c>
      <c r="AG7" s="213" t="str">
        <f>IF(Assembly[[#This Row],[Type]]="VAP30 E1",IF(AND(Assembly[[#This Row],[TP0094/96]]="PASS",Assembly[[#This Row],[QAI0008/9]]="PASS"),IF(Assembly[[#This Row],[Assigned]]=0,IF(Assembly[[#This Row],[Assigned]]="","",Assembly[[#This Row],[ID]]),""),""),"")</f>
        <v/>
      </c>
      <c r="AH7" s="213" t="str">
        <f>IF(Assembly[[#This Row],[Type]]="VAP30 E2",IF(AND(Assembly[[#This Row],[TP0094/96]]="PASS",Assembly[[#This Row],[QAI0008/9]]="PASS"),IF(Assembly[[#This Row],[Assigned]]=0,IF(Assembly[[#This Row],[Assigned]]="","",Assembly[[#This Row],[ID]]),""),""),"")</f>
        <v>AP0003</v>
      </c>
      <c r="AI7" s="238">
        <v>3</v>
      </c>
      <c r="AJ7" s="235" t="s">
        <v>1811</v>
      </c>
      <c r="AK7" s="235" t="s">
        <v>1844</v>
      </c>
      <c r="AL7" s="235"/>
      <c r="AM7" s="236" t="s">
        <v>1845</v>
      </c>
      <c r="AN7" s="236" t="s">
        <v>1846</v>
      </c>
      <c r="AO7" s="236" t="s">
        <v>1849</v>
      </c>
      <c r="AP7" s="300">
        <v>44138</v>
      </c>
      <c r="AQ7" s="237" t="s">
        <v>1848</v>
      </c>
      <c r="AR7" s="237"/>
      <c r="AS7" s="237"/>
      <c r="AT7" s="240" t="s">
        <v>1852</v>
      </c>
    </row>
    <row r="8" spans="1:46" s="34" customFormat="1" x14ac:dyDescent="0.25">
      <c r="A8" s="263">
        <v>43808</v>
      </c>
      <c r="B8" s="264" t="s">
        <v>1788</v>
      </c>
      <c r="C8" s="265" t="s">
        <v>1507</v>
      </c>
      <c r="D8" s="266" t="s">
        <v>1791</v>
      </c>
      <c r="E8" s="267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F8" s="268">
        <v>44124</v>
      </c>
      <c r="G8" s="269" t="s">
        <v>1641</v>
      </c>
      <c r="H8" s="249" t="s">
        <v>1641</v>
      </c>
      <c r="I8" s="257" t="str">
        <f>IF(VAP100AE[[#This Row],[Type]]="VAP100A",IF(VAP100AE[[#This Row],[TP0054]]="PASS",IF(E8=0,IF(E8="","",D8),""),""),"")</f>
        <v/>
      </c>
      <c r="J8" s="267" t="str">
        <f>IF(VAP100AE[[#This Row],[Type]]="VAP100E",IF(VAP100AE[[#This Row],[TP0054]]="PASS",IF(E8=0,IF(E8="","",D8),""),""),"")</f>
        <v/>
      </c>
      <c r="K8"/>
      <c r="L8"/>
      <c r="M8"/>
      <c r="N8" s="261"/>
      <c r="O8"/>
      <c r="P8"/>
      <c r="Q8"/>
      <c r="R8"/>
      <c r="S8"/>
      <c r="T8"/>
      <c r="U8"/>
      <c r="V8"/>
      <c r="W8"/>
      <c r="X8" s="261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</row>
    <row r="9" spans="1:46" x14ac:dyDescent="0.25">
      <c r="A9" s="263">
        <v>43808</v>
      </c>
      <c r="B9" s="264" t="s">
        <v>1788</v>
      </c>
      <c r="C9" s="265" t="s">
        <v>1507</v>
      </c>
      <c r="D9" s="266" t="s">
        <v>1792</v>
      </c>
      <c r="E9" s="267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F9" s="268">
        <v>44124</v>
      </c>
      <c r="G9" s="269" t="s">
        <v>1641</v>
      </c>
      <c r="H9" s="249" t="s">
        <v>1641</v>
      </c>
      <c r="I9" s="257" t="str">
        <f>IF(VAP100AE[[#This Row],[Type]]="VAP100A",IF(VAP100AE[[#This Row],[TP0054]]="PASS",IF(E9=0,IF(E9="","",D9),""),""),"")</f>
        <v/>
      </c>
      <c r="J9" s="267" t="str">
        <f>IF(VAP100AE[[#This Row],[Type]]="VAP100E",IF(VAP100AE[[#This Row],[TP0054]]="PASS",IF(E9=0,IF(E9="","",D9),""),""),"")</f>
        <v/>
      </c>
      <c r="K9"/>
      <c r="P9"/>
      <c r="V9"/>
    </row>
    <row r="10" spans="1:46" x14ac:dyDescent="0.25">
      <c r="A10" s="263">
        <v>43808</v>
      </c>
      <c r="B10" s="264" t="s">
        <v>1788</v>
      </c>
      <c r="C10" s="265" t="s">
        <v>1507</v>
      </c>
      <c r="D10" s="266" t="s">
        <v>1793</v>
      </c>
      <c r="E10" s="267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F10" s="268">
        <v>44124</v>
      </c>
      <c r="G10" s="269" t="s">
        <v>1641</v>
      </c>
      <c r="H10" s="249" t="s">
        <v>1641</v>
      </c>
      <c r="I10" s="257" t="str">
        <f>IF(VAP100AE[[#This Row],[Type]]="VAP100A",IF(VAP100AE[[#This Row],[TP0054]]="PASS",IF(E10=0,IF(E10="","",D10),""),""),"")</f>
        <v/>
      </c>
      <c r="J10" s="267" t="str">
        <f>IF(VAP100AE[[#This Row],[Type]]="VAP100E",IF(VAP100AE[[#This Row],[TP0054]]="PASS",IF(E10=0,IF(E10="","",D10),""),""),"")</f>
        <v/>
      </c>
      <c r="K10"/>
      <c r="P10"/>
      <c r="V10"/>
    </row>
    <row r="11" spans="1:46" x14ac:dyDescent="0.25">
      <c r="A11"/>
      <c r="F11"/>
      <c r="K11"/>
      <c r="P11"/>
      <c r="V11"/>
    </row>
    <row r="12" spans="1:46" x14ac:dyDescent="0.25">
      <c r="A12"/>
      <c r="F12"/>
      <c r="K12"/>
      <c r="P12"/>
      <c r="V12"/>
    </row>
    <row r="13" spans="1:46" x14ac:dyDescent="0.25">
      <c r="K13"/>
      <c r="P13"/>
      <c r="V13"/>
    </row>
    <row r="14" spans="1:46" x14ac:dyDescent="0.25">
      <c r="K14"/>
      <c r="P14"/>
      <c r="V14"/>
    </row>
    <row r="15" spans="1:46" x14ac:dyDescent="0.25">
      <c r="K15"/>
      <c r="P15"/>
      <c r="V15"/>
    </row>
    <row r="16" spans="1:46" x14ac:dyDescent="0.25">
      <c r="K16"/>
      <c r="P16"/>
      <c r="V16"/>
    </row>
    <row r="17" spans="11:34" x14ac:dyDescent="0.25">
      <c r="K17"/>
      <c r="P17"/>
      <c r="V17"/>
    </row>
    <row r="18" spans="11:34" x14ac:dyDescent="0.25">
      <c r="K18"/>
      <c r="P18"/>
      <c r="U18" s="34"/>
      <c r="V18" s="34"/>
      <c r="W18" s="34"/>
      <c r="X18" s="233"/>
      <c r="Y18" s="34"/>
      <c r="Z18" s="34"/>
      <c r="AA18" s="34"/>
      <c r="AB18" s="34"/>
      <c r="AC18" s="34"/>
      <c r="AD18" s="34"/>
      <c r="AE18" s="34"/>
      <c r="AF18" s="34"/>
      <c r="AG18" s="34"/>
      <c r="AH18" s="34"/>
    </row>
    <row r="19" spans="11:34" x14ac:dyDescent="0.25">
      <c r="K19"/>
      <c r="P19"/>
      <c r="U19" s="34"/>
      <c r="V19" s="34"/>
      <c r="W19" s="34"/>
      <c r="X19" s="233"/>
      <c r="Y19" s="34"/>
      <c r="Z19" s="34"/>
      <c r="AA19" s="34"/>
      <c r="AB19" s="34"/>
      <c r="AC19" s="34"/>
      <c r="AD19" s="34"/>
      <c r="AE19" s="34"/>
      <c r="AF19" s="34"/>
      <c r="AG19" s="34"/>
      <c r="AH19" s="34"/>
    </row>
    <row r="20" spans="11:34" x14ac:dyDescent="0.25">
      <c r="K20"/>
      <c r="P20"/>
      <c r="U20" s="34"/>
      <c r="V20" s="34"/>
      <c r="W20" s="34"/>
      <c r="X20" s="233"/>
      <c r="Y20" s="34"/>
      <c r="Z20" s="34"/>
      <c r="AA20" s="34"/>
      <c r="AB20" s="34"/>
      <c r="AC20" s="34"/>
      <c r="AD20" s="34"/>
      <c r="AE20" s="34"/>
      <c r="AF20" s="34"/>
      <c r="AG20" s="34"/>
      <c r="AH20" s="34"/>
    </row>
    <row r="21" spans="11:34" x14ac:dyDescent="0.25">
      <c r="K21"/>
      <c r="P21"/>
      <c r="U21" s="34"/>
      <c r="V21" s="34"/>
      <c r="W21" s="34"/>
      <c r="X21" s="233"/>
      <c r="Y21" s="34"/>
      <c r="Z21" s="34"/>
      <c r="AA21" s="34"/>
      <c r="AB21" s="34"/>
      <c r="AC21" s="34"/>
      <c r="AD21" s="34"/>
      <c r="AE21" s="34"/>
      <c r="AF21" s="34"/>
      <c r="AG21" s="34"/>
      <c r="AH21" s="34"/>
    </row>
    <row r="22" spans="11:34" x14ac:dyDescent="0.25">
      <c r="K22"/>
      <c r="P22"/>
      <c r="U22" s="34"/>
      <c r="V22" s="34"/>
      <c r="W22" s="34"/>
      <c r="X22" s="233"/>
      <c r="Y22" s="34"/>
      <c r="Z22" s="34"/>
      <c r="AA22" s="34"/>
      <c r="AB22" s="34"/>
      <c r="AC22" s="34"/>
      <c r="AD22" s="34"/>
      <c r="AE22" s="34"/>
      <c r="AF22" s="34"/>
      <c r="AG22" s="34"/>
      <c r="AH22" s="34"/>
    </row>
    <row r="23" spans="11:34" x14ac:dyDescent="0.25">
      <c r="K23"/>
      <c r="P23"/>
      <c r="U23" s="34"/>
      <c r="V23" s="34"/>
      <c r="W23" s="34"/>
      <c r="X23" s="233"/>
      <c r="Y23" s="34"/>
      <c r="Z23" s="34"/>
      <c r="AA23" s="34"/>
      <c r="AB23" s="34"/>
      <c r="AC23" s="34"/>
      <c r="AD23" s="34"/>
      <c r="AE23" s="34"/>
      <c r="AF23" s="34"/>
      <c r="AG23" s="34"/>
      <c r="AH23" s="34"/>
    </row>
    <row r="24" spans="11:34" x14ac:dyDescent="0.25">
      <c r="K24"/>
      <c r="P24"/>
      <c r="U24" s="34"/>
      <c r="V24" s="34"/>
      <c r="W24" s="34"/>
      <c r="X24" s="233"/>
      <c r="Y24" s="34"/>
      <c r="Z24" s="34"/>
      <c r="AA24" s="34"/>
      <c r="AB24" s="34"/>
      <c r="AC24" s="34"/>
      <c r="AD24" s="170"/>
      <c r="AE24" s="170"/>
      <c r="AF24" s="170"/>
      <c r="AG24" s="170"/>
      <c r="AH24" s="170"/>
    </row>
    <row r="25" spans="11:34" x14ac:dyDescent="0.25">
      <c r="K25"/>
      <c r="P25"/>
      <c r="U25" s="34"/>
      <c r="V25" s="34"/>
      <c r="W25" s="34"/>
      <c r="X25" s="233"/>
      <c r="Y25" s="34"/>
      <c r="Z25" s="34"/>
      <c r="AA25" s="34"/>
      <c r="AB25" s="34"/>
      <c r="AC25" s="34"/>
      <c r="AD25" s="170"/>
      <c r="AE25" s="170"/>
      <c r="AF25" s="170"/>
      <c r="AG25" s="170"/>
      <c r="AH25" s="170"/>
    </row>
    <row r="26" spans="11:34" x14ac:dyDescent="0.25">
      <c r="K26"/>
      <c r="P26"/>
      <c r="V26"/>
    </row>
    <row r="27" spans="11:34" x14ac:dyDescent="0.25">
      <c r="K27"/>
      <c r="P27"/>
      <c r="V27"/>
    </row>
    <row r="28" spans="11:34" x14ac:dyDescent="0.25">
      <c r="K28"/>
      <c r="P28"/>
      <c r="V28"/>
    </row>
    <row r="29" spans="11:34" x14ac:dyDescent="0.25">
      <c r="K29"/>
      <c r="P29"/>
      <c r="V29"/>
    </row>
    <row r="30" spans="11:34" x14ac:dyDescent="0.25">
      <c r="K30"/>
      <c r="P30"/>
      <c r="V30"/>
    </row>
    <row r="31" spans="11:34" x14ac:dyDescent="0.25">
      <c r="K31"/>
      <c r="P31"/>
      <c r="V31"/>
    </row>
    <row r="32" spans="11:34" x14ac:dyDescent="0.25">
      <c r="K32"/>
      <c r="P32"/>
      <c r="V32"/>
    </row>
    <row r="33" spans="11:22" x14ac:dyDescent="0.25">
      <c r="K33"/>
      <c r="P33"/>
      <c r="V33"/>
    </row>
    <row r="34" spans="11:22" x14ac:dyDescent="0.25">
      <c r="K34"/>
      <c r="P34"/>
      <c r="V34"/>
    </row>
    <row r="35" spans="11:22" x14ac:dyDescent="0.25">
      <c r="K35"/>
      <c r="P35"/>
      <c r="V35"/>
    </row>
    <row r="36" spans="11:22" x14ac:dyDescent="0.25">
      <c r="K36"/>
      <c r="P36"/>
      <c r="V36"/>
    </row>
    <row r="37" spans="11:22" x14ac:dyDescent="0.25">
      <c r="K37" s="34"/>
      <c r="L37" s="34"/>
      <c r="M37" s="34"/>
      <c r="N37" s="233"/>
      <c r="O37" s="34"/>
      <c r="P37" s="34"/>
      <c r="Q37" s="34"/>
      <c r="R37" s="34"/>
      <c r="S37" s="34"/>
      <c r="T37" s="34"/>
      <c r="V37"/>
    </row>
    <row r="38" spans="11:22" x14ac:dyDescent="0.25">
      <c r="K38" s="34"/>
      <c r="L38" s="34"/>
      <c r="M38" s="34"/>
      <c r="N38" s="233"/>
      <c r="O38" s="34"/>
      <c r="P38" s="34"/>
      <c r="Q38" s="34"/>
      <c r="R38" s="34"/>
      <c r="S38" s="34"/>
      <c r="T38" s="34"/>
      <c r="V38"/>
    </row>
    <row r="39" spans="11:22" x14ac:dyDescent="0.25">
      <c r="K39" s="34"/>
      <c r="L39" s="34"/>
      <c r="M39" s="34"/>
      <c r="N39" s="233"/>
      <c r="O39" s="34"/>
      <c r="P39" s="34"/>
      <c r="Q39" s="34"/>
      <c r="R39" s="34"/>
      <c r="S39" s="34"/>
      <c r="T39" s="34"/>
      <c r="V39"/>
    </row>
    <row r="40" spans="11:22" x14ac:dyDescent="0.25">
      <c r="K40" s="34"/>
      <c r="L40" s="34"/>
      <c r="M40" s="34"/>
      <c r="N40" s="233"/>
      <c r="O40" s="34"/>
      <c r="P40" s="34"/>
      <c r="Q40" s="34"/>
      <c r="R40" s="34"/>
      <c r="S40" s="34"/>
      <c r="T40" s="34"/>
      <c r="V40"/>
    </row>
    <row r="41" spans="11:22" x14ac:dyDescent="0.25">
      <c r="K41" s="34"/>
      <c r="L41" s="34"/>
      <c r="M41" s="34"/>
      <c r="N41" s="233"/>
      <c r="O41" s="34"/>
      <c r="P41" s="34"/>
      <c r="Q41" s="34"/>
      <c r="R41" s="34"/>
      <c r="S41" s="34"/>
      <c r="T41" s="34"/>
      <c r="V41"/>
    </row>
    <row r="42" spans="11:22" x14ac:dyDescent="0.25">
      <c r="K42" s="34"/>
      <c r="L42" s="34"/>
      <c r="M42" s="34"/>
      <c r="N42" s="233"/>
      <c r="O42" s="34"/>
      <c r="P42" s="34"/>
      <c r="Q42" s="34"/>
      <c r="R42" s="34"/>
      <c r="S42" s="34"/>
      <c r="T42" s="34"/>
      <c r="V42"/>
    </row>
    <row r="43" spans="11:22" x14ac:dyDescent="0.25">
      <c r="K43" s="34"/>
      <c r="L43" s="34"/>
      <c r="M43" s="34"/>
      <c r="N43" s="233"/>
      <c r="O43" s="34"/>
      <c r="P43" s="34"/>
      <c r="Q43" s="34"/>
      <c r="R43" s="34"/>
      <c r="S43" s="34"/>
      <c r="T43" s="34"/>
      <c r="V43"/>
    </row>
    <row r="44" spans="11:22" x14ac:dyDescent="0.25">
      <c r="K44" s="34"/>
      <c r="L44" s="34"/>
      <c r="M44" s="34"/>
      <c r="N44" s="233"/>
      <c r="O44" s="34"/>
      <c r="P44" s="34"/>
      <c r="Q44" s="34"/>
      <c r="R44" s="34"/>
      <c r="S44" s="34"/>
      <c r="T44" s="34"/>
      <c r="V44"/>
    </row>
    <row r="45" spans="11:22" x14ac:dyDescent="0.25">
      <c r="K45" s="34"/>
      <c r="L45" s="34"/>
      <c r="M45" s="34"/>
      <c r="N45" s="233"/>
      <c r="O45" s="34"/>
      <c r="P45" s="34"/>
      <c r="Q45" s="34"/>
      <c r="R45" s="34"/>
      <c r="S45" s="34"/>
      <c r="T45" s="34"/>
      <c r="V45"/>
    </row>
    <row r="46" spans="11:22" x14ac:dyDescent="0.25">
      <c r="K46" s="34"/>
      <c r="L46" s="34"/>
      <c r="M46" s="34"/>
      <c r="N46" s="233"/>
      <c r="O46" s="34"/>
      <c r="P46" s="34"/>
      <c r="Q46" s="34"/>
      <c r="R46" s="34"/>
      <c r="S46" s="34"/>
      <c r="T46" s="34"/>
      <c r="V46"/>
    </row>
    <row r="47" spans="11:22" x14ac:dyDescent="0.25">
      <c r="K47" s="34"/>
      <c r="L47" s="34"/>
      <c r="M47" s="34"/>
      <c r="N47" s="233"/>
      <c r="O47" s="34"/>
      <c r="P47" s="34"/>
      <c r="Q47" s="34"/>
      <c r="R47" s="34"/>
      <c r="S47" s="34"/>
      <c r="T47" s="34"/>
      <c r="V47"/>
    </row>
    <row r="48" spans="11:22" x14ac:dyDescent="0.25">
      <c r="K48"/>
      <c r="P48"/>
      <c r="V48"/>
    </row>
    <row r="49" spans="11:46" x14ac:dyDescent="0.25">
      <c r="K49"/>
      <c r="P49"/>
      <c r="V49"/>
    </row>
    <row r="50" spans="11:46" x14ac:dyDescent="0.25">
      <c r="K50"/>
      <c r="P50"/>
      <c r="V50"/>
    </row>
    <row r="51" spans="11:46" x14ac:dyDescent="0.25">
      <c r="K51"/>
      <c r="P51"/>
      <c r="V51"/>
    </row>
    <row r="52" spans="11:46" x14ac:dyDescent="0.25">
      <c r="K52"/>
      <c r="P52"/>
      <c r="V52"/>
    </row>
    <row r="53" spans="11:46" x14ac:dyDescent="0.25">
      <c r="K53"/>
      <c r="P53"/>
      <c r="V53"/>
    </row>
    <row r="54" spans="11:46" x14ac:dyDescent="0.25">
      <c r="K54"/>
      <c r="P54"/>
      <c r="V54"/>
    </row>
    <row r="55" spans="11:46" x14ac:dyDescent="0.25">
      <c r="K55"/>
      <c r="P55"/>
      <c r="V55"/>
    </row>
    <row r="56" spans="11:46" x14ac:dyDescent="0.25">
      <c r="K56"/>
      <c r="P56"/>
      <c r="S56" s="218"/>
      <c r="V56"/>
    </row>
    <row r="57" spans="11:46" x14ac:dyDescent="0.25">
      <c r="K57"/>
      <c r="P57"/>
      <c r="S57" s="218"/>
      <c r="V57"/>
    </row>
    <row r="58" spans="11:46" x14ac:dyDescent="0.25">
      <c r="K58"/>
      <c r="P58"/>
      <c r="S58" s="218"/>
      <c r="V58"/>
    </row>
    <row r="59" spans="11:46" x14ac:dyDescent="0.25">
      <c r="K59"/>
      <c r="P59"/>
      <c r="S59" s="218"/>
      <c r="V59"/>
    </row>
    <row r="60" spans="11:46" x14ac:dyDescent="0.25">
      <c r="K60"/>
      <c r="P60"/>
      <c r="S60" s="218"/>
      <c r="V60"/>
    </row>
    <row r="61" spans="11:46" x14ac:dyDescent="0.25">
      <c r="K61"/>
      <c r="P61"/>
      <c r="S61" s="218"/>
      <c r="V61"/>
      <c r="AI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</row>
    <row r="62" spans="11:46" x14ac:dyDescent="0.25">
      <c r="K62"/>
      <c r="P62"/>
      <c r="S62" s="218"/>
      <c r="V62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</row>
    <row r="63" spans="11:46" x14ac:dyDescent="0.25">
      <c r="K63"/>
      <c r="P63"/>
      <c r="S63" s="218"/>
      <c r="V63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</row>
    <row r="64" spans="11:46" x14ac:dyDescent="0.25">
      <c r="K64"/>
      <c r="P64"/>
      <c r="S64" s="218"/>
      <c r="U64" s="34"/>
      <c r="V64" s="164"/>
      <c r="W64" s="34"/>
      <c r="X64" s="291"/>
      <c r="Y64" s="166"/>
      <c r="Z64" s="166"/>
      <c r="AA64" s="166"/>
      <c r="AB64" s="166"/>
      <c r="AC64" s="171"/>
      <c r="AD64" s="167"/>
      <c r="AE64" s="167"/>
      <c r="AF64" s="167"/>
      <c r="AG64" s="171"/>
      <c r="AH64" s="171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</row>
    <row r="65" spans="11:46" x14ac:dyDescent="0.25">
      <c r="K65"/>
      <c r="P65"/>
      <c r="S65" s="218"/>
      <c r="V65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</row>
    <row r="66" spans="11:46" x14ac:dyDescent="0.25">
      <c r="K66"/>
      <c r="P66"/>
      <c r="S66" s="218"/>
      <c r="V66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</row>
    <row r="67" spans="11:46" x14ac:dyDescent="0.25">
      <c r="K67"/>
      <c r="P67"/>
      <c r="S67" s="218"/>
      <c r="V67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</row>
    <row r="68" spans="11:46" x14ac:dyDescent="0.25">
      <c r="K68"/>
      <c r="P68"/>
      <c r="S68" s="218"/>
      <c r="V68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</row>
    <row r="69" spans="11:46" x14ac:dyDescent="0.25">
      <c r="K69"/>
      <c r="P69"/>
      <c r="S69" s="218"/>
      <c r="V69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</row>
    <row r="70" spans="11:46" x14ac:dyDescent="0.25">
      <c r="K70"/>
      <c r="P70"/>
      <c r="S70" s="218"/>
      <c r="V70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</row>
    <row r="71" spans="11:46" x14ac:dyDescent="0.25">
      <c r="K71"/>
      <c r="P71"/>
      <c r="V71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</row>
    <row r="72" spans="11:46" x14ac:dyDescent="0.25">
      <c r="K72"/>
      <c r="P72"/>
      <c r="V72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</row>
    <row r="73" spans="11:46" x14ac:dyDescent="0.25">
      <c r="K73"/>
      <c r="P73"/>
      <c r="V73"/>
    </row>
    <row r="74" spans="11:46" x14ac:dyDescent="0.25">
      <c r="K74"/>
      <c r="P74"/>
      <c r="V74"/>
    </row>
    <row r="75" spans="11:46" x14ac:dyDescent="0.25">
      <c r="K75"/>
      <c r="P75"/>
      <c r="V75"/>
    </row>
    <row r="76" spans="11:46" x14ac:dyDescent="0.25">
      <c r="K76"/>
      <c r="P76"/>
      <c r="V76"/>
    </row>
    <row r="77" spans="11:46" x14ac:dyDescent="0.25">
      <c r="K77"/>
      <c r="P77"/>
      <c r="V77"/>
    </row>
    <row r="78" spans="11:46" x14ac:dyDescent="0.25">
      <c r="K78"/>
      <c r="P78"/>
      <c r="V78"/>
    </row>
    <row r="79" spans="11:46" x14ac:dyDescent="0.25">
      <c r="K79"/>
      <c r="P79"/>
      <c r="V79"/>
    </row>
    <row r="80" spans="11:46" x14ac:dyDescent="0.25">
      <c r="K80"/>
      <c r="P80"/>
      <c r="V80"/>
    </row>
    <row r="81" spans="1:22" x14ac:dyDescent="0.25">
      <c r="K81"/>
      <c r="P81"/>
      <c r="V81"/>
    </row>
    <row r="82" spans="1:22" x14ac:dyDescent="0.25">
      <c r="K82"/>
      <c r="P82"/>
      <c r="V82"/>
    </row>
    <row r="83" spans="1:22" x14ac:dyDescent="0.25">
      <c r="K83"/>
      <c r="P83"/>
      <c r="V83"/>
    </row>
    <row r="84" spans="1:22" x14ac:dyDescent="0.25">
      <c r="K84"/>
      <c r="N84" s="262"/>
      <c r="P84"/>
      <c r="V84"/>
    </row>
    <row r="85" spans="1:22" x14ac:dyDescent="0.25">
      <c r="K85"/>
      <c r="P85"/>
      <c r="V85"/>
    </row>
    <row r="86" spans="1:22" x14ac:dyDescent="0.25">
      <c r="K86"/>
      <c r="P86"/>
      <c r="V86"/>
    </row>
    <row r="87" spans="1:22" x14ac:dyDescent="0.25">
      <c r="K87"/>
      <c r="P87"/>
      <c r="V87"/>
    </row>
    <row r="88" spans="1:22" x14ac:dyDescent="0.25">
      <c r="A88" s="244"/>
      <c r="B88" s="231"/>
      <c r="C88" s="231"/>
      <c r="D88" s="34"/>
      <c r="E88" s="171"/>
      <c r="F88" s="247"/>
      <c r="G88" s="168"/>
      <c r="H88" s="166"/>
      <c r="I88" s="196"/>
      <c r="J88" s="171"/>
      <c r="K88"/>
      <c r="P88"/>
      <c r="V88"/>
    </row>
    <row r="89" spans="1:22" x14ac:dyDescent="0.25">
      <c r="A89" s="244"/>
      <c r="B89" s="231"/>
      <c r="C89" s="231"/>
      <c r="D89" s="34"/>
      <c r="E89" s="171"/>
      <c r="F89" s="247"/>
      <c r="G89" s="168"/>
      <c r="H89" s="166"/>
      <c r="I89" s="196"/>
      <c r="J89" s="171"/>
      <c r="K89"/>
      <c r="P89"/>
    </row>
    <row r="90" spans="1:22" x14ac:dyDescent="0.25">
      <c r="A90" s="244"/>
      <c r="B90" s="231"/>
      <c r="C90" s="231"/>
      <c r="D90" s="34"/>
      <c r="E90" s="171"/>
      <c r="F90" s="247"/>
      <c r="G90" s="168"/>
      <c r="H90" s="166"/>
      <c r="I90" s="196"/>
      <c r="J90" s="171"/>
      <c r="K90"/>
      <c r="P90"/>
    </row>
    <row r="91" spans="1:22" x14ac:dyDescent="0.25">
      <c r="A91" s="244"/>
      <c r="B91" s="231"/>
      <c r="C91" s="231"/>
      <c r="D91" s="232"/>
      <c r="E91" s="171"/>
      <c r="F91" s="247"/>
      <c r="G91" s="168"/>
      <c r="H91" s="166"/>
      <c r="I91" s="196"/>
      <c r="J91" s="171"/>
      <c r="K91"/>
      <c r="P91"/>
    </row>
    <row r="92" spans="1:22" x14ac:dyDescent="0.25">
      <c r="A92" s="244"/>
      <c r="B92" s="207"/>
      <c r="C92" s="231"/>
      <c r="D92" s="232"/>
      <c r="E92" s="171"/>
      <c r="F92" s="247"/>
      <c r="G92" s="168"/>
      <c r="H92" s="166"/>
      <c r="I92" s="196"/>
      <c r="J92" s="171"/>
      <c r="K92"/>
      <c r="P92"/>
    </row>
    <row r="93" spans="1:22" x14ac:dyDescent="0.25">
      <c r="A93" s="244"/>
      <c r="B93" s="207"/>
      <c r="C93" s="231"/>
      <c r="D93" s="171"/>
      <c r="E93" s="171"/>
      <c r="F93" s="247"/>
      <c r="G93" s="168"/>
      <c r="H93" s="166"/>
      <c r="I93" s="196"/>
      <c r="J93" s="171"/>
      <c r="K93"/>
      <c r="P93"/>
    </row>
    <row r="94" spans="1:22" x14ac:dyDescent="0.25">
      <c r="A94" s="244"/>
      <c r="B94" s="207"/>
      <c r="C94" s="231"/>
      <c r="D94" s="232"/>
      <c r="E94" s="171"/>
      <c r="F94" s="247"/>
      <c r="G94" s="168"/>
      <c r="H94" s="166"/>
      <c r="I94" s="196"/>
      <c r="J94" s="171"/>
      <c r="K94"/>
      <c r="P94"/>
    </row>
    <row r="95" spans="1:22" x14ac:dyDescent="0.25">
      <c r="A95" s="244"/>
      <c r="B95" s="207"/>
      <c r="C95" s="231"/>
      <c r="D95" s="233"/>
      <c r="E95" s="171"/>
      <c r="F95" s="247"/>
      <c r="G95" s="168"/>
      <c r="H95" s="166"/>
      <c r="I95" s="196"/>
      <c r="J95" s="171"/>
      <c r="K95"/>
      <c r="P95"/>
    </row>
    <row r="96" spans="1:22" x14ac:dyDescent="0.25">
      <c r="A96" s="244"/>
      <c r="B96" s="207"/>
      <c r="C96" s="231"/>
      <c r="D96" s="233"/>
      <c r="E96" s="171"/>
      <c r="F96" s="247"/>
      <c r="G96" s="168"/>
      <c r="H96" s="166"/>
      <c r="I96" s="196"/>
      <c r="J96" s="171"/>
      <c r="K96"/>
      <c r="P96"/>
    </row>
    <row r="97" spans="1:16" x14ac:dyDescent="0.25">
      <c r="A97" s="244"/>
      <c r="B97" s="207"/>
      <c r="C97" s="231"/>
      <c r="D97" s="233"/>
      <c r="E97" s="171"/>
      <c r="F97" s="247"/>
      <c r="G97" s="168"/>
      <c r="H97" s="166"/>
      <c r="I97" s="196"/>
      <c r="J97" s="171"/>
      <c r="K97"/>
      <c r="P97"/>
    </row>
    <row r="98" spans="1:16" x14ac:dyDescent="0.25">
      <c r="A98" s="244"/>
      <c r="B98" s="234"/>
      <c r="C98" s="231"/>
      <c r="D98" s="233"/>
      <c r="E98" s="171"/>
      <c r="F98" s="247"/>
      <c r="G98" s="168"/>
      <c r="H98" s="166"/>
      <c r="I98" s="196"/>
      <c r="J98" s="171"/>
      <c r="K98"/>
      <c r="P98"/>
    </row>
    <row r="99" spans="1:16" x14ac:dyDescent="0.25">
      <c r="A99" s="244"/>
      <c r="B99" s="234"/>
      <c r="C99" s="231"/>
      <c r="D99" s="233"/>
      <c r="E99" s="171"/>
      <c r="F99" s="247"/>
      <c r="G99" s="168"/>
      <c r="H99" s="166"/>
      <c r="I99" s="196"/>
      <c r="J99" s="171"/>
    </row>
    <row r="100" spans="1:16" x14ac:dyDescent="0.25">
      <c r="A100" s="244"/>
      <c r="B100" s="234"/>
      <c r="C100" s="231"/>
      <c r="D100" s="233"/>
      <c r="E100" s="171"/>
      <c r="F100" s="247"/>
      <c r="G100" s="168"/>
      <c r="H100" s="166"/>
      <c r="I100" s="196"/>
      <c r="J100" s="171"/>
    </row>
    <row r="101" spans="1:16" x14ac:dyDescent="0.25">
      <c r="A101" s="244"/>
      <c r="B101" s="234"/>
      <c r="C101" s="231"/>
      <c r="D101" s="233"/>
      <c r="E101" s="171"/>
      <c r="F101" s="247"/>
      <c r="G101" s="168"/>
      <c r="H101" s="166"/>
      <c r="I101" s="196"/>
      <c r="J101" s="171"/>
    </row>
  </sheetData>
  <sheetProtection sheet="1" objects="1" scenarios="1"/>
  <dataConsolidate/>
  <mergeCells count="4">
    <mergeCell ref="A1:H2"/>
    <mergeCell ref="K1:T2"/>
    <mergeCell ref="U1:AH2"/>
    <mergeCell ref="AI1:AT2"/>
  </mergeCells>
  <dataValidations count="15">
    <dataValidation type="list" allowBlank="1" showInputMessage="1" showErrorMessage="1" sqref="Z4">
      <formula1>"N/A"</formula1>
    </dataValidation>
    <dataValidation type="list" allowBlank="1" showInputMessage="1" showErrorMessage="1" sqref="AA64:AB64 H88:H100 G88:G101 AA3 G5:H10 Q5:R7 AA5:AA7 AB7 AB5 AB6">
      <formula1>"UNTESTED,FAIL,PASS"</formula1>
    </dataValidation>
    <dataValidation type="list" allowBlank="1" showInputMessage="1" showErrorMessage="1" sqref="X64 X61 X69">
      <formula1>"PCB-DX3-002"</formula1>
    </dataValidation>
    <dataValidation type="list" operator="equal" allowBlank="1" showInputMessage="1" showErrorMessage="1" sqref="AL76 AA4 AB4">
      <formula1>"UNTESTED,FAIL"</formula1>
    </dataValidation>
    <dataValidation type="list" allowBlank="1" showInputMessage="1" showErrorMessage="1" sqref="AA61:AA62 I3:I10">
      <formula1>"PCB-A-002,PCB-A-004,PCB-A-006"</formula1>
    </dataValidation>
    <dataValidation type="date" operator="greaterThan" allowBlank="1" showInputMessage="1" showErrorMessage="1" sqref="F121:F132 F88:F101">
      <formula1>36526</formula1>
    </dataValidation>
    <dataValidation type="list" allowBlank="1" showInputMessage="1" showErrorMessage="1" sqref="H101 H3">
      <formula1>"UNTESTED,FAIL"</formula1>
    </dataValidation>
    <dataValidation type="list" allowBlank="1" showInputMessage="1" showErrorMessage="1" sqref="Y6">
      <formula1>"RN/519211/1219/AD,RN/519225/1219/AD,RN/519210/1219/AD,RN/519223/1219/AD"</formula1>
    </dataValidation>
    <dataValidation type="list" allowBlank="1" showInputMessage="1" showErrorMessage="1" sqref="Z6">
      <formula1>"RN/519211/1219/AD,RN/519225/1219/AD,RN/519223/1219/AD"</formula1>
    </dataValidation>
    <dataValidation type="list" allowBlank="1" showInputMessage="1" showErrorMessage="1" sqref="Y7">
      <formula1>"RN/519225/1219/AD,RN/519223/1219/AD"</formula1>
    </dataValidation>
    <dataValidation type="list" allowBlank="1" showInputMessage="1" showErrorMessage="1" sqref="Z7">
      <formula1>"RN/519223/1219/AD"</formula1>
    </dataValidation>
    <dataValidation type="list" allowBlank="1" showInputMessage="1" showErrorMessage="1" sqref="X7">
      <formula1>"0372"</formula1>
    </dataValidation>
    <dataValidation type="list" allowBlank="1" showInputMessage="1" showErrorMessage="1" sqref="Z5">
      <formula1>"RN/519215/1219/AD"</formula1>
    </dataValidation>
    <dataValidation type="list" allowBlank="1" showInputMessage="1" showErrorMessage="1" sqref="AL5">
      <formula1>"AP0001,AP0002,AP0003"</formula1>
    </dataValidation>
    <dataValidation type="list" allowBlank="1" showInputMessage="1" showErrorMessage="1" sqref="AL6">
      <formula1>"AP0002,AP0003"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4" r:id="rId4" name="Button 6">
              <controlPr defaultSize="0" print="0" autoFill="0" autoPict="0" macro="[0]!Sheet10.Add_Membrane">
                <anchor moveWithCells="1" sizeWithCells="1">
                  <from>
                    <xdr:col>10</xdr:col>
                    <xdr:colOff>527050</xdr:colOff>
                    <xdr:row>0</xdr:row>
                    <xdr:rowOff>107950</xdr:rowOff>
                  </from>
                  <to>
                    <xdr:col>12</xdr:col>
                    <xdr:colOff>336550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5" name="Button 9">
              <controlPr defaultSize="0" print="0" autoFill="0" autoPict="0" macro="[0]!Sheet10.Add_Assembly">
                <anchor moveWithCells="1" sizeWithCells="1">
                  <from>
                    <xdr:col>20</xdr:col>
                    <xdr:colOff>450850</xdr:colOff>
                    <xdr:row>0</xdr:row>
                    <xdr:rowOff>76200</xdr:rowOff>
                  </from>
                  <to>
                    <xdr:col>22</xdr:col>
                    <xdr:colOff>298450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6" name="Button 20">
              <controlPr defaultSize="0" print="0" autoFill="0" autoPict="0" macro="[0]!Sheet10.Add_Destination">
                <anchor moveWithCells="1" sizeWithCells="1">
                  <from>
                    <xdr:col>34</xdr:col>
                    <xdr:colOff>342900</xdr:colOff>
                    <xdr:row>0</xdr:row>
                    <xdr:rowOff>31750</xdr:rowOff>
                  </from>
                  <to>
                    <xdr:col>35</xdr:col>
                    <xdr:colOff>603250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0" r:id="rId7" name="Button 42">
              <controlPr defaultSize="0" print="0" autoFill="0" autoPict="0" macro="[0]!Sheet10.UnlockFailure">
                <anchor moveWithCells="1" sizeWithCells="1">
                  <from>
                    <xdr:col>31</xdr:col>
                    <xdr:colOff>717550</xdr:colOff>
                    <xdr:row>0</xdr:row>
                    <xdr:rowOff>76200</xdr:rowOff>
                  </from>
                  <to>
                    <xdr:col>33</xdr:col>
                    <xdr:colOff>527050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Button 5">
              <controlPr defaultSize="0" print="0" autoFill="0" autoPict="0" macro="[0]!Sheet10.Add_VAP100AE_PCB">
                <anchor moveWithCells="1" sizeWithCells="1">
                  <from>
                    <xdr:col>0</xdr:col>
                    <xdr:colOff>831850</xdr:colOff>
                    <xdr:row>0</xdr:row>
                    <xdr:rowOff>69850</xdr:rowOff>
                  </from>
                  <to>
                    <xdr:col>1</xdr:col>
                    <xdr:colOff>488950</xdr:colOff>
                    <xdr:row>1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tableParts count="4">
    <tablePart r:id="rId9"/>
    <tablePart r:id="rId10"/>
    <tablePart r:id="rId11"/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BE166"/>
  <sheetViews>
    <sheetView zoomScale="80" zoomScaleNormal="80" workbookViewId="0">
      <selection activeCell="I14" sqref="I14"/>
    </sheetView>
  </sheetViews>
  <sheetFormatPr defaultRowHeight="12.5" x14ac:dyDescent="0.25"/>
  <cols>
    <col min="1" max="1" width="12.453125" customWidth="1"/>
    <col min="2" max="2" width="17.453125" customWidth="1"/>
    <col min="3" max="5" width="16.453125" customWidth="1"/>
    <col min="6" max="7" width="10.453125" customWidth="1"/>
    <col min="8" max="8" width="10.54296875" customWidth="1"/>
    <col min="9" max="9" width="19.54296875" bestFit="1" customWidth="1"/>
    <col min="10" max="10" width="17.453125" customWidth="1"/>
    <col min="11" max="12" width="18.54296875" customWidth="1"/>
    <col min="13" max="13" width="14.54296875" customWidth="1"/>
    <col min="14" max="16" width="10.54296875" customWidth="1"/>
    <col min="17" max="17" width="15.453125" customWidth="1"/>
    <col min="18" max="19" width="11.54296875" customWidth="1"/>
    <col min="20" max="20" width="13.54296875" customWidth="1"/>
    <col min="21" max="21" width="10" customWidth="1"/>
    <col min="22" max="22" width="10" hidden="1" customWidth="1"/>
    <col min="23" max="24" width="10.453125" customWidth="1"/>
    <col min="25" max="25" width="10.453125" hidden="1" customWidth="1"/>
    <col min="26" max="26" width="16.453125" customWidth="1"/>
    <col min="27" max="27" width="13.453125" customWidth="1"/>
    <col min="28" max="28" width="15.54296875" customWidth="1"/>
    <col min="29" max="29" width="15" customWidth="1"/>
    <col min="30" max="30" width="15.453125" customWidth="1"/>
    <col min="31" max="31" width="14.54296875" customWidth="1"/>
    <col min="32" max="34" width="9.54296875" customWidth="1"/>
    <col min="35" max="35" width="10.453125" customWidth="1"/>
    <col min="36" max="37" width="8.54296875" customWidth="1"/>
    <col min="38" max="38" width="8.54296875" hidden="1" customWidth="1"/>
    <col min="39" max="39" width="11.453125" customWidth="1"/>
    <col min="40" max="41" width="10.453125" customWidth="1"/>
    <col min="42" max="42" width="10.54296875" customWidth="1"/>
    <col min="43" max="43" width="10" customWidth="1"/>
    <col min="44" max="44" width="12.54296875" customWidth="1"/>
    <col min="45" max="45" width="10" customWidth="1"/>
    <col min="46" max="46" width="9.453125" customWidth="1"/>
    <col min="48" max="48" width="10.453125" customWidth="1"/>
    <col min="49" max="49" width="10" customWidth="1"/>
    <col min="51" max="51" width="14.54296875" customWidth="1"/>
    <col min="52" max="52" width="13.453125" customWidth="1"/>
    <col min="53" max="53" width="11.54296875" customWidth="1"/>
    <col min="54" max="54" width="16.54296875" customWidth="1"/>
    <col min="55" max="55" width="13.453125" customWidth="1"/>
    <col min="56" max="56" width="13.54296875" customWidth="1"/>
    <col min="57" max="57" width="14.54296875" customWidth="1"/>
  </cols>
  <sheetData>
    <row r="1" spans="1:57" ht="34.5" customHeight="1" x14ac:dyDescent="0.25">
      <c r="A1" s="332" t="s">
        <v>1610</v>
      </c>
      <c r="B1" s="333"/>
      <c r="C1" s="333"/>
      <c r="D1" s="333"/>
      <c r="E1" s="333"/>
      <c r="F1" s="333"/>
      <c r="G1" s="333"/>
      <c r="H1" s="334"/>
      <c r="I1" s="338" t="s">
        <v>1619</v>
      </c>
      <c r="J1" s="338"/>
      <c r="K1" s="338"/>
      <c r="L1" s="338"/>
      <c r="M1" s="338"/>
      <c r="N1" s="338"/>
      <c r="O1" s="338"/>
      <c r="P1" s="338"/>
      <c r="Q1" s="338"/>
      <c r="R1" s="338"/>
      <c r="S1" s="338"/>
      <c r="T1" s="338"/>
      <c r="U1" s="338"/>
      <c r="V1" s="338"/>
      <c r="W1" s="338"/>
      <c r="X1" s="338"/>
      <c r="Y1" s="338"/>
      <c r="Z1" s="338"/>
      <c r="AA1" s="338"/>
      <c r="AB1" s="338"/>
      <c r="AC1" s="338"/>
      <c r="AD1" s="338"/>
      <c r="AE1" s="338"/>
      <c r="AF1" s="338"/>
      <c r="AG1" s="338"/>
      <c r="AH1" s="338"/>
      <c r="AI1" s="338"/>
      <c r="AJ1" s="339" t="s">
        <v>1632</v>
      </c>
      <c r="AK1" s="340"/>
      <c r="AL1" s="340"/>
      <c r="AM1" s="341"/>
      <c r="AN1" s="341"/>
      <c r="AO1" s="341"/>
      <c r="AP1" s="341"/>
      <c r="AQ1" s="342"/>
      <c r="AR1" s="346" t="s">
        <v>1634</v>
      </c>
      <c r="AS1" s="347"/>
      <c r="AT1" s="347"/>
      <c r="AU1" s="347"/>
      <c r="AV1" s="347"/>
      <c r="AW1" s="347"/>
      <c r="AX1" s="347"/>
      <c r="AY1" s="347"/>
      <c r="AZ1" s="347"/>
      <c r="BA1" s="347"/>
      <c r="BB1" s="348"/>
      <c r="BC1" s="322" t="s">
        <v>1612</v>
      </c>
      <c r="BD1" s="322"/>
      <c r="BE1" s="322"/>
    </row>
    <row r="2" spans="1:57" ht="25.5" customHeight="1" x14ac:dyDescent="0.25">
      <c r="A2" s="335"/>
      <c r="B2" s="336"/>
      <c r="C2" s="336"/>
      <c r="D2" s="336"/>
      <c r="E2" s="336"/>
      <c r="F2" s="336"/>
      <c r="G2" s="336"/>
      <c r="H2" s="337"/>
      <c r="I2" s="326" t="s">
        <v>1617</v>
      </c>
      <c r="J2" s="327"/>
      <c r="K2" s="327"/>
      <c r="L2" s="327"/>
      <c r="M2" s="327"/>
      <c r="N2" s="327"/>
      <c r="O2" s="328"/>
      <c r="P2" s="329" t="s">
        <v>1616</v>
      </c>
      <c r="Q2" s="330"/>
      <c r="R2" s="330"/>
      <c r="S2" s="330"/>
      <c r="T2" s="330"/>
      <c r="U2" s="330"/>
      <c r="V2" s="331"/>
      <c r="W2" s="323" t="s">
        <v>1635</v>
      </c>
      <c r="X2" s="324"/>
      <c r="Y2" s="324"/>
      <c r="Z2" s="324"/>
      <c r="AA2" s="324"/>
      <c r="AB2" s="324"/>
      <c r="AC2" s="324"/>
      <c r="AD2" s="324"/>
      <c r="AE2" s="324"/>
      <c r="AF2" s="324"/>
      <c r="AG2" s="324"/>
      <c r="AH2" s="324"/>
      <c r="AI2" s="325"/>
      <c r="AJ2" s="343"/>
      <c r="AK2" s="344"/>
      <c r="AL2" s="344"/>
      <c r="AM2" s="344"/>
      <c r="AN2" s="344"/>
      <c r="AO2" s="344"/>
      <c r="AP2" s="344"/>
      <c r="AQ2" s="345"/>
      <c r="AR2" s="349"/>
      <c r="AS2" s="350"/>
      <c r="AT2" s="350"/>
      <c r="AU2" s="350"/>
      <c r="AV2" s="350"/>
      <c r="AW2" s="350"/>
      <c r="AX2" s="350"/>
      <c r="AY2" s="350"/>
      <c r="AZ2" s="350"/>
      <c r="BA2" s="350"/>
      <c r="BB2" s="351"/>
      <c r="BC2" s="322"/>
      <c r="BD2" s="322"/>
      <c r="BE2" s="322"/>
    </row>
    <row r="3" spans="1:57" s="6" customFormat="1" ht="39" x14ac:dyDescent="0.25">
      <c r="A3" s="122" t="s">
        <v>692</v>
      </c>
      <c r="B3" s="123" t="s">
        <v>693</v>
      </c>
      <c r="C3" s="124" t="s">
        <v>2</v>
      </c>
      <c r="D3" s="124" t="s">
        <v>1637</v>
      </c>
      <c r="E3" s="124" t="s">
        <v>1613</v>
      </c>
      <c r="F3" s="124" t="s">
        <v>1640</v>
      </c>
      <c r="G3" s="125" t="s">
        <v>1620</v>
      </c>
      <c r="H3" s="126" t="s">
        <v>1639</v>
      </c>
      <c r="I3" s="127" t="s">
        <v>692</v>
      </c>
      <c r="J3" s="127" t="s">
        <v>1608</v>
      </c>
      <c r="K3" s="127" t="s">
        <v>1613</v>
      </c>
      <c r="L3" s="127" t="s">
        <v>1637</v>
      </c>
      <c r="M3" s="127" t="s">
        <v>1609</v>
      </c>
      <c r="N3" s="127" t="s">
        <v>1638</v>
      </c>
      <c r="O3" s="140" t="s">
        <v>1639</v>
      </c>
      <c r="P3" s="128" t="s">
        <v>692</v>
      </c>
      <c r="Q3" s="128" t="s">
        <v>1608</v>
      </c>
      <c r="R3" s="128" t="s">
        <v>1613</v>
      </c>
      <c r="S3" s="128" t="s">
        <v>1637</v>
      </c>
      <c r="T3" s="128" t="s">
        <v>1609</v>
      </c>
      <c r="U3" s="128" t="s">
        <v>1618</v>
      </c>
      <c r="V3" s="141" t="s">
        <v>1639</v>
      </c>
      <c r="W3" s="129" t="s">
        <v>1628</v>
      </c>
      <c r="X3" s="129" t="s">
        <v>1637</v>
      </c>
      <c r="Y3" s="129" t="s">
        <v>1639</v>
      </c>
      <c r="Z3" s="129" t="s">
        <v>1623</v>
      </c>
      <c r="AA3" s="129" t="s">
        <v>1624</v>
      </c>
      <c r="AB3" s="129" t="s">
        <v>1625</v>
      </c>
      <c r="AC3" s="129" t="s">
        <v>1626</v>
      </c>
      <c r="AD3" s="129" t="s">
        <v>1627</v>
      </c>
      <c r="AE3" s="129" t="s">
        <v>1621</v>
      </c>
      <c r="AF3" s="129" t="s">
        <v>1611</v>
      </c>
      <c r="AG3" s="129" t="s">
        <v>1647</v>
      </c>
      <c r="AH3" s="129" t="s">
        <v>1646</v>
      </c>
      <c r="AI3" s="129" t="s">
        <v>1645</v>
      </c>
      <c r="AJ3" s="130" t="s">
        <v>1629</v>
      </c>
      <c r="AK3" s="130" t="s">
        <v>1637</v>
      </c>
      <c r="AL3" s="130" t="s">
        <v>1644</v>
      </c>
      <c r="AM3" s="130" t="s">
        <v>1614</v>
      </c>
      <c r="AN3" s="130" t="s">
        <v>1628</v>
      </c>
      <c r="AO3" s="130" t="s">
        <v>1648</v>
      </c>
      <c r="AP3" s="130" t="s">
        <v>1649</v>
      </c>
      <c r="AQ3" s="130" t="s">
        <v>1631</v>
      </c>
      <c r="AR3" s="131" t="s">
        <v>7</v>
      </c>
      <c r="AS3" s="131" t="s">
        <v>1630</v>
      </c>
      <c r="AT3" s="131" t="s">
        <v>11</v>
      </c>
      <c r="AU3" s="131" t="s">
        <v>9</v>
      </c>
      <c r="AV3" s="131" t="s">
        <v>1636</v>
      </c>
      <c r="AW3" s="131" t="s">
        <v>1633</v>
      </c>
      <c r="AX3" s="132" t="s">
        <v>3</v>
      </c>
      <c r="AY3" s="132" t="s">
        <v>4</v>
      </c>
      <c r="AZ3" s="132" t="s">
        <v>1622</v>
      </c>
      <c r="BA3" s="133" t="s">
        <v>5</v>
      </c>
      <c r="BB3" s="134" t="s">
        <v>1615</v>
      </c>
      <c r="BC3" s="135" t="s">
        <v>194</v>
      </c>
      <c r="BD3" s="135" t="s">
        <v>195</v>
      </c>
      <c r="BE3" s="136" t="s">
        <v>6</v>
      </c>
    </row>
    <row r="4" spans="1:57" x14ac:dyDescent="0.25">
      <c r="A4" s="187"/>
      <c r="B4" s="186"/>
      <c r="C4" s="186"/>
      <c r="D4" s="185">
        <f>IF(AND(COUNTIF('VB3'!$AM$4:$AM$4,C4)=1,VB3_PCB[[#This Row],[QAI0001]]="PASS",VB3_PCB[[#This Row],[TP0066]]="PASS"),1,0)</f>
        <v>0</v>
      </c>
      <c r="E4" s="188"/>
      <c r="F4" s="185" t="s">
        <v>1643</v>
      </c>
      <c r="G4" s="185" t="s">
        <v>1643</v>
      </c>
      <c r="H4" s="180" t="str">
        <f t="shared" ref="H4:H9" si="0">IF(G4="PASS",IF(D4=0,IF(D4="","",C4),""),"")</f>
        <v/>
      </c>
      <c r="I4" s="191"/>
      <c r="J4" s="180"/>
      <c r="K4" s="192"/>
      <c r="L4" s="181">
        <f>IF(AND(COUNTIF('VB3'!$AD$4:$AD$4,M4)=1,VB3_Castings[[#This Row],[QAI0002]]="PASS"),1,0)</f>
        <v>0</v>
      </c>
      <c r="M4" s="193"/>
      <c r="N4" s="183" t="s">
        <v>1643</v>
      </c>
      <c r="O4" s="180" t="str">
        <f>IF(N4="PASS",IF(L4=0,IF(L4="","",M4),""),"")</f>
        <v/>
      </c>
      <c r="P4" s="191"/>
      <c r="Q4" s="193"/>
      <c r="R4" s="192"/>
      <c r="S4" s="181">
        <f>IF(AND(COUNTIF('VB3'!$AE$4:$AE$4,T4)=1,VB3_Wellglass[[#This Row],[QAI0003]]="PASS"),1,0)</f>
        <v>0</v>
      </c>
      <c r="T4" s="180"/>
      <c r="U4" s="183" t="s">
        <v>1643</v>
      </c>
      <c r="V4" s="181" t="str">
        <f>IF(U4="PASS",IF(S4=0,IF(S4="","",T4),""),"")</f>
        <v/>
      </c>
      <c r="W4" s="180"/>
      <c r="X4" s="194">
        <f>IF(AND(COUNTIF('VB3'!$AN$4:$AN$4,W4)=1,VB3_Preassembly[[#This Row],[TP0065 Result]]="PASS"),1,0)</f>
        <v>0</v>
      </c>
      <c r="Y4" s="195" t="str">
        <f>IF(AI4="PASS",IF(X4=0,IF(X4="","",W4),""),"")</f>
        <v/>
      </c>
      <c r="Z4" s="183"/>
      <c r="AA4" s="183"/>
      <c r="AB4" s="183"/>
      <c r="AC4" s="183"/>
      <c r="AD4" s="183"/>
      <c r="AE4" s="183"/>
      <c r="AF4" s="183"/>
      <c r="AG4" s="183"/>
      <c r="AH4" s="183"/>
      <c r="AI4" s="183" t="s">
        <v>1643</v>
      </c>
      <c r="AJ4" s="193"/>
      <c r="AK4" s="180">
        <f>IF(AND(COUNTIF('VB3'!$AS$4:$AS$4,AJ4)=1,VB3_Generic_Assembly[[#This Row],[TP0067]]="PASS",VB3_Generic_Assembly[[#This Row],[TP0069]]="PASS",VB3_Generic_Assembly[[#This Row],[QAI0004]]="PASS"),1,0)</f>
        <v>0</v>
      </c>
      <c r="AL4" s="183" t="str">
        <f>IF(AQ4="PASS",IF(AK4=0,IF(AK4="","",AJ4),""),"")</f>
        <v/>
      </c>
      <c r="AM4" s="183"/>
      <c r="AN4" s="183"/>
      <c r="AO4" s="184" t="s">
        <v>1643</v>
      </c>
      <c r="AP4" s="183" t="s">
        <v>1643</v>
      </c>
      <c r="AQ4" s="183" t="s">
        <v>1643</v>
      </c>
      <c r="AR4" s="142"/>
      <c r="AS4" s="142"/>
      <c r="AT4" s="142"/>
      <c r="AU4" s="142"/>
      <c r="AV4" s="142" t="s">
        <v>1643</v>
      </c>
      <c r="AW4" s="142" t="s">
        <v>1643</v>
      </c>
      <c r="BA4" s="142"/>
      <c r="BB4" s="142"/>
      <c r="BC4" s="142"/>
      <c r="BD4" s="142"/>
      <c r="BE4" s="142"/>
    </row>
    <row r="5" spans="1:57" x14ac:dyDescent="0.25">
      <c r="A5" s="212">
        <v>43568</v>
      </c>
      <c r="B5" s="199">
        <v>123456</v>
      </c>
      <c r="C5" s="199">
        <v>456</v>
      </c>
      <c r="D5" s="213">
        <f>IF(AND(COUNTIF('VB3'!$AM$4:$AM$4,C5)=1,VB3_PCB[[#This Row],[QAI0001]]="PASS",VB3_PCB[[#This Row],[TP0066]]="PASS"),1,0)</f>
        <v>0</v>
      </c>
      <c r="E5" s="214">
        <v>43790</v>
      </c>
      <c r="F5" s="200" t="s">
        <v>1641</v>
      </c>
      <c r="G5" s="200" t="s">
        <v>1641</v>
      </c>
      <c r="H5" s="198">
        <f t="shared" si="0"/>
        <v>456</v>
      </c>
      <c r="I5" s="203"/>
      <c r="J5" s="34"/>
      <c r="K5" s="204"/>
      <c r="L5" s="171"/>
      <c r="M5" s="66"/>
      <c r="N5" s="166"/>
      <c r="O5" s="171"/>
      <c r="P5" s="203"/>
      <c r="Q5" s="66"/>
      <c r="R5" s="204"/>
      <c r="S5" s="171"/>
      <c r="T5" s="34"/>
      <c r="U5" s="166"/>
      <c r="V5" s="171"/>
      <c r="W5" s="34"/>
      <c r="X5" s="205"/>
      <c r="Y5" s="206"/>
      <c r="Z5" s="166"/>
      <c r="AA5" s="165"/>
      <c r="AB5" s="166"/>
      <c r="AC5" s="165"/>
      <c r="AD5" s="166"/>
      <c r="AE5" s="166"/>
      <c r="AF5" s="166"/>
      <c r="AG5" s="168"/>
      <c r="AH5" s="165"/>
      <c r="AI5" s="166"/>
      <c r="AJ5" s="66"/>
      <c r="AK5" s="171"/>
      <c r="AL5" s="167"/>
      <c r="AM5" s="166"/>
      <c r="AN5" s="166"/>
      <c r="AO5" s="168"/>
      <c r="AP5" s="166"/>
      <c r="AQ5" s="166"/>
      <c r="AR5" s="166"/>
      <c r="AS5" s="166"/>
      <c r="AT5" s="166"/>
      <c r="AU5" s="166"/>
      <c r="AV5" s="166"/>
      <c r="AW5" s="166"/>
      <c r="AX5" s="34"/>
      <c r="AY5" s="34"/>
      <c r="AZ5" s="34"/>
      <c r="BA5" s="166"/>
      <c r="BB5" s="166"/>
      <c r="BC5" s="166"/>
      <c r="BD5" s="166"/>
      <c r="BE5" s="166"/>
    </row>
    <row r="6" spans="1:57" x14ac:dyDescent="0.25">
      <c r="A6" s="189">
        <v>43568</v>
      </c>
      <c r="B6" s="174">
        <v>123456</v>
      </c>
      <c r="C6" s="174" t="s">
        <v>1700</v>
      </c>
      <c r="D6" s="175">
        <f>IF(AND(COUNTIF('VB3'!$AM$4:$AM$4,C6)=1,VB3_PCB[[#This Row],[QAI0001]]="PASS",VB3_PCB[[#This Row],[TP0066]]="PASS"),1,0)</f>
        <v>0</v>
      </c>
      <c r="E6" s="190">
        <v>43790</v>
      </c>
      <c r="F6" s="173" t="s">
        <v>1641</v>
      </c>
      <c r="G6" s="173" t="s">
        <v>1642</v>
      </c>
      <c r="H6" s="172" t="str">
        <f t="shared" si="0"/>
        <v/>
      </c>
      <c r="I6" s="203"/>
      <c r="J6" s="34"/>
      <c r="K6" s="204"/>
      <c r="L6" s="171"/>
      <c r="M6" s="66"/>
      <c r="N6" s="166"/>
      <c r="O6" s="171"/>
      <c r="P6" s="203"/>
      <c r="Q6" s="66"/>
      <c r="R6" s="204"/>
      <c r="S6" s="171"/>
      <c r="T6" s="34"/>
      <c r="U6" s="166"/>
      <c r="V6" s="171"/>
      <c r="W6" s="34"/>
      <c r="X6" s="205"/>
      <c r="Y6" s="206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66"/>
      <c r="AK6" s="171"/>
      <c r="AL6" s="167"/>
      <c r="AM6" s="166"/>
      <c r="AN6" s="166"/>
      <c r="AO6" s="168"/>
      <c r="AP6" s="166"/>
      <c r="AQ6" s="166"/>
      <c r="AR6" s="166"/>
      <c r="AS6" s="166"/>
      <c r="AT6" s="166"/>
      <c r="AU6" s="166"/>
      <c r="AV6" s="166"/>
      <c r="AW6" s="166"/>
      <c r="AX6" s="34"/>
      <c r="AY6" s="34"/>
      <c r="AZ6" s="34"/>
      <c r="BA6" s="166"/>
      <c r="BB6" s="166"/>
      <c r="BC6" s="166"/>
      <c r="BD6" s="166"/>
      <c r="BE6" s="166"/>
    </row>
    <row r="7" spans="1:57" x14ac:dyDescent="0.25">
      <c r="A7" s="212">
        <v>43568</v>
      </c>
      <c r="B7" s="199">
        <v>123456</v>
      </c>
      <c r="C7" s="199" t="s">
        <v>1701</v>
      </c>
      <c r="D7" s="213">
        <f>IF(AND(COUNTIF('VB3'!$AM$4:$AM$4,C7)=1,VB3_PCB[[#This Row],[QAI0001]]="PASS",VB3_PCB[[#This Row],[TP0066]]="PASS"),1,0)</f>
        <v>0</v>
      </c>
      <c r="E7" s="214">
        <v>43790</v>
      </c>
      <c r="F7" s="200" t="s">
        <v>1641</v>
      </c>
      <c r="G7" s="200" t="s">
        <v>1641</v>
      </c>
      <c r="H7" s="198" t="str">
        <f t="shared" si="0"/>
        <v>JBKOJ</v>
      </c>
      <c r="I7" s="203"/>
      <c r="J7" s="34"/>
      <c r="K7" s="204"/>
      <c r="L7" s="171"/>
      <c r="M7" s="66"/>
      <c r="N7" s="166"/>
      <c r="O7" s="171"/>
      <c r="P7" s="203"/>
      <c r="Q7" s="66"/>
      <c r="R7" s="204"/>
      <c r="S7" s="171"/>
      <c r="T7" s="34"/>
      <c r="U7" s="166"/>
      <c r="V7" s="171"/>
      <c r="W7" s="34"/>
      <c r="X7" s="205"/>
      <c r="Y7" s="206"/>
      <c r="Z7" s="166"/>
      <c r="AA7" s="165"/>
      <c r="AB7" s="166"/>
      <c r="AC7" s="165"/>
      <c r="AD7" s="166"/>
      <c r="AE7" s="166"/>
      <c r="AF7" s="166"/>
      <c r="AG7" s="168"/>
      <c r="AH7" s="165"/>
      <c r="AI7" s="166"/>
      <c r="AJ7" s="66"/>
      <c r="AK7" s="171"/>
      <c r="AL7" s="167"/>
      <c r="AM7" s="166"/>
      <c r="AN7" s="166"/>
      <c r="AO7" s="168"/>
      <c r="AP7" s="166"/>
      <c r="AQ7" s="166"/>
      <c r="AR7" s="34"/>
      <c r="AS7" s="34"/>
      <c r="AT7" s="34"/>
      <c r="AU7" s="34"/>
      <c r="AV7" s="34"/>
      <c r="AW7" s="34"/>
      <c r="AX7" s="34"/>
      <c r="AY7" s="34"/>
      <c r="AZ7" s="34"/>
      <c r="BA7" s="34"/>
      <c r="BB7" s="34"/>
      <c r="BC7" s="34"/>
      <c r="BD7" s="34"/>
      <c r="BE7" s="34"/>
    </row>
    <row r="8" spans="1:57" x14ac:dyDescent="0.25">
      <c r="A8" s="212">
        <v>43568</v>
      </c>
      <c r="B8" s="199">
        <v>123456</v>
      </c>
      <c r="C8" s="199" t="s">
        <v>1702</v>
      </c>
      <c r="D8" s="213">
        <f>IF(AND(COUNTIF('VB3'!$AM$4:$AM$4,C8)=1,VB3_PCB[[#This Row],[QAI0001]]="PASS",VB3_PCB[[#This Row],[TP0066]]="PASS"),1,0)</f>
        <v>0</v>
      </c>
      <c r="E8" s="214">
        <v>43790</v>
      </c>
      <c r="F8" s="200" t="s">
        <v>1641</v>
      </c>
      <c r="G8" s="200" t="s">
        <v>1641</v>
      </c>
      <c r="H8" s="198" t="str">
        <f t="shared" si="0"/>
        <v>OT-0</v>
      </c>
      <c r="I8" s="203"/>
      <c r="J8" s="34"/>
      <c r="K8" s="204"/>
      <c r="L8" s="171"/>
      <c r="M8" s="66"/>
      <c r="N8" s="166"/>
      <c r="O8" s="171"/>
      <c r="P8" s="203"/>
      <c r="Q8" s="66"/>
      <c r="R8" s="204"/>
      <c r="S8" s="171"/>
      <c r="T8" s="34"/>
      <c r="U8" s="166"/>
      <c r="V8" s="171"/>
      <c r="W8" s="34"/>
      <c r="X8" s="205"/>
      <c r="Y8" s="206"/>
      <c r="Z8" s="166"/>
      <c r="AA8" s="165"/>
      <c r="AB8" s="166"/>
      <c r="AC8" s="165"/>
      <c r="AD8" s="166"/>
      <c r="AE8" s="166"/>
      <c r="AF8" s="166"/>
      <c r="AG8" s="168"/>
      <c r="AH8" s="165"/>
      <c r="AI8" s="166"/>
      <c r="AJ8" s="66"/>
      <c r="AK8" s="171"/>
      <c r="AL8" s="171"/>
      <c r="AM8" s="166"/>
      <c r="AN8" s="166"/>
      <c r="AO8" s="166"/>
      <c r="AP8" s="166"/>
      <c r="AQ8" s="166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34"/>
      <c r="BC8" s="34"/>
      <c r="BD8" s="34"/>
      <c r="BE8" s="34"/>
    </row>
    <row r="9" spans="1:57" x14ac:dyDescent="0.25">
      <c r="A9" s="212">
        <v>43568</v>
      </c>
      <c r="B9" s="199">
        <v>123456</v>
      </c>
      <c r="C9" s="199" t="s">
        <v>1703</v>
      </c>
      <c r="D9" s="213">
        <f>IF(AND(COUNTIF('VB3'!$AM$4:$AM$4,C9)=1,VB3_PCB[[#This Row],[QAI0001]]="PASS",VB3_PCB[[#This Row],[TP0066]]="PASS"),1,0)</f>
        <v>0</v>
      </c>
      <c r="E9" s="214">
        <v>43790</v>
      </c>
      <c r="F9" s="200" t="s">
        <v>1641</v>
      </c>
      <c r="G9" s="200" t="s">
        <v>1641</v>
      </c>
      <c r="H9" s="198" t="str">
        <f t="shared" si="0"/>
        <v>JVD</v>
      </c>
      <c r="I9" s="203"/>
      <c r="J9" s="34"/>
      <c r="K9" s="204"/>
      <c r="L9" s="171"/>
      <c r="M9" s="66"/>
      <c r="N9" s="166"/>
      <c r="O9" s="171"/>
      <c r="P9" s="203"/>
      <c r="Q9" s="66"/>
      <c r="R9" s="204"/>
      <c r="S9" s="171"/>
      <c r="T9" s="34"/>
      <c r="U9" s="166"/>
      <c r="V9" s="171"/>
      <c r="W9" s="34"/>
      <c r="X9" s="205"/>
      <c r="Y9" s="207"/>
      <c r="Z9" s="166"/>
      <c r="AA9" s="166"/>
      <c r="AB9" s="166"/>
      <c r="AC9" s="166"/>
      <c r="AD9" s="166"/>
      <c r="AE9" s="166"/>
      <c r="AF9" s="166"/>
      <c r="AG9" s="166"/>
      <c r="AH9" s="166"/>
      <c r="AI9" s="166"/>
      <c r="AJ9" s="66"/>
      <c r="AK9" s="171"/>
      <c r="AL9" s="171"/>
      <c r="AM9" s="166"/>
      <c r="AN9" s="166"/>
      <c r="AO9" s="166"/>
      <c r="AP9" s="166"/>
      <c r="AQ9" s="166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</row>
    <row r="10" spans="1:57" x14ac:dyDescent="0.25">
      <c r="A10" s="201"/>
      <c r="B10" s="197"/>
      <c r="C10" s="197"/>
      <c r="D10" s="196"/>
      <c r="E10" s="202"/>
      <c r="F10" s="166"/>
      <c r="G10" s="166"/>
      <c r="H10" s="171"/>
      <c r="I10" s="203"/>
      <c r="J10" s="34"/>
      <c r="K10" s="204"/>
      <c r="L10" s="171"/>
      <c r="M10" s="66"/>
      <c r="N10" s="166"/>
      <c r="O10" s="171"/>
      <c r="P10" s="203"/>
      <c r="Q10" s="66"/>
      <c r="R10" s="204"/>
      <c r="S10" s="171"/>
      <c r="T10" s="34"/>
      <c r="U10" s="166"/>
      <c r="V10" s="171"/>
      <c r="W10" s="34"/>
      <c r="X10" s="205"/>
      <c r="Y10" s="207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66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34"/>
      <c r="BA10" s="34"/>
      <c r="BB10" s="34"/>
      <c r="BC10" s="34"/>
      <c r="BD10" s="34"/>
      <c r="BE10" s="34"/>
    </row>
    <row r="11" spans="1:57" x14ac:dyDescent="0.25">
      <c r="A11" s="201"/>
      <c r="B11" s="197"/>
      <c r="C11" s="197"/>
      <c r="D11" s="196"/>
      <c r="E11" s="202"/>
      <c r="F11" s="166"/>
      <c r="G11" s="166"/>
      <c r="H11" s="171"/>
      <c r="I11" s="203"/>
      <c r="J11" s="34"/>
      <c r="K11" s="202"/>
      <c r="L11" s="171"/>
      <c r="M11" s="66"/>
      <c r="N11" s="166"/>
      <c r="O11" s="171"/>
      <c r="P11" s="203"/>
      <c r="Q11" s="66"/>
      <c r="R11" s="204"/>
      <c r="S11" s="171"/>
      <c r="T11" s="34"/>
      <c r="U11" s="166"/>
      <c r="V11" s="171"/>
      <c r="W11" s="34"/>
      <c r="X11" s="205"/>
      <c r="Y11" s="207"/>
      <c r="Z11" s="168"/>
      <c r="AA11" s="168"/>
      <c r="AB11" s="168"/>
      <c r="AC11" s="168"/>
      <c r="AD11" s="166"/>
      <c r="AE11" s="166"/>
      <c r="AF11" s="166"/>
      <c r="AG11" s="168"/>
      <c r="AH11" s="166"/>
      <c r="AI11" s="166"/>
      <c r="AJ11" s="66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</row>
    <row r="12" spans="1:57" x14ac:dyDescent="0.25">
      <c r="A12" s="201"/>
      <c r="B12" s="197"/>
      <c r="C12" s="197"/>
      <c r="D12" s="196"/>
      <c r="E12" s="202"/>
      <c r="F12" s="166"/>
      <c r="G12" s="166"/>
      <c r="H12" s="171"/>
      <c r="I12" s="203"/>
      <c r="J12" s="34"/>
      <c r="K12" s="204"/>
      <c r="L12" s="171"/>
      <c r="M12" s="66"/>
      <c r="N12" s="166"/>
      <c r="O12" s="171"/>
      <c r="P12" s="203"/>
      <c r="Q12" s="66"/>
      <c r="R12" s="202"/>
      <c r="S12" s="171"/>
      <c r="T12" s="34"/>
      <c r="U12" s="166"/>
      <c r="V12" s="171"/>
      <c r="W12" s="34"/>
      <c r="X12" s="205"/>
      <c r="Y12" s="207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</row>
    <row r="13" spans="1:57" ht="13" x14ac:dyDescent="0.3">
      <c r="A13" s="201"/>
      <c r="B13" s="197"/>
      <c r="C13" s="197"/>
      <c r="D13" s="196"/>
      <c r="E13" s="202"/>
      <c r="F13" s="166"/>
      <c r="G13" s="166"/>
      <c r="H13" s="171"/>
      <c r="I13" s="203"/>
      <c r="J13" s="34"/>
      <c r="K13" s="204"/>
      <c r="L13" s="171"/>
      <c r="M13" s="66"/>
      <c r="N13" s="166"/>
      <c r="O13" s="171"/>
      <c r="P13" s="203"/>
      <c r="Q13" s="66"/>
      <c r="R13" s="204"/>
      <c r="S13" s="171"/>
      <c r="T13" s="169"/>
      <c r="U13" s="166"/>
      <c r="V13" s="171"/>
      <c r="W13" s="34"/>
      <c r="X13" s="205"/>
      <c r="Y13" s="207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</row>
    <row r="14" spans="1:57" ht="13" x14ac:dyDescent="0.3">
      <c r="A14" s="201"/>
      <c r="B14" s="197"/>
      <c r="C14" s="197"/>
      <c r="D14" s="196"/>
      <c r="E14" s="202"/>
      <c r="F14" s="166"/>
      <c r="G14" s="166"/>
      <c r="H14" s="171"/>
      <c r="I14" s="203"/>
      <c r="J14" s="34"/>
      <c r="K14" s="202"/>
      <c r="L14" s="171"/>
      <c r="M14" s="169"/>
      <c r="N14" s="166"/>
      <c r="O14" s="171"/>
      <c r="P14" s="203"/>
      <c r="Q14" s="66"/>
      <c r="R14" s="204"/>
      <c r="S14" s="171"/>
      <c r="T14" s="34"/>
      <c r="U14" s="166"/>
      <c r="V14" s="171"/>
      <c r="W14" s="34"/>
      <c r="X14" s="205"/>
      <c r="Y14" s="207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</row>
    <row r="15" spans="1:57" x14ac:dyDescent="0.25">
      <c r="A15" s="201"/>
      <c r="B15" s="197"/>
      <c r="C15" s="197"/>
      <c r="D15" s="196"/>
      <c r="E15" s="202"/>
      <c r="F15" s="166"/>
      <c r="G15" s="166"/>
      <c r="H15" s="171"/>
      <c r="I15" s="203"/>
      <c r="J15" s="34"/>
      <c r="K15" s="204"/>
      <c r="L15" s="171"/>
      <c r="M15" s="66"/>
      <c r="N15" s="166"/>
      <c r="O15" s="171"/>
      <c r="P15" s="203"/>
      <c r="Q15" s="66"/>
      <c r="R15" s="204"/>
      <c r="S15" s="171"/>
      <c r="T15" s="34"/>
      <c r="U15" s="166"/>
      <c r="V15" s="171"/>
      <c r="W15" s="34"/>
      <c r="X15" s="205"/>
      <c r="Y15" s="207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</row>
    <row r="16" spans="1:57" x14ac:dyDescent="0.25">
      <c r="A16" s="201"/>
      <c r="B16" s="197"/>
      <c r="C16" s="197"/>
      <c r="D16" s="196"/>
      <c r="E16" s="202"/>
      <c r="F16" s="166"/>
      <c r="G16" s="166"/>
      <c r="H16" s="171"/>
      <c r="I16" s="203"/>
      <c r="J16" s="34"/>
      <c r="K16" s="204"/>
      <c r="L16" s="171"/>
      <c r="M16" s="66"/>
      <c r="N16" s="166"/>
      <c r="O16" s="171"/>
      <c r="P16" s="203"/>
      <c r="Q16" s="66"/>
      <c r="R16" s="204"/>
      <c r="S16" s="171"/>
      <c r="T16" s="34"/>
      <c r="U16" s="166"/>
      <c r="V16" s="171"/>
      <c r="W16" s="34"/>
      <c r="X16" s="205"/>
      <c r="Y16" s="207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</row>
    <row r="17" spans="1:57" x14ac:dyDescent="0.25">
      <c r="A17" s="201"/>
      <c r="B17" s="197"/>
      <c r="C17" s="197"/>
      <c r="D17" s="196"/>
      <c r="E17" s="202"/>
      <c r="F17" s="166"/>
      <c r="G17" s="166"/>
      <c r="H17" s="171"/>
      <c r="I17" s="203"/>
      <c r="J17" s="34"/>
      <c r="K17" s="204"/>
      <c r="L17" s="171"/>
      <c r="M17" s="66"/>
      <c r="N17" s="166"/>
      <c r="O17" s="171"/>
      <c r="P17" s="203"/>
      <c r="Q17" s="66"/>
      <c r="R17" s="204"/>
      <c r="S17" s="171"/>
      <c r="T17" s="34"/>
      <c r="U17" s="166"/>
      <c r="V17" s="171"/>
      <c r="W17" s="34"/>
      <c r="X17" s="205"/>
      <c r="Y17" s="207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</row>
    <row r="18" spans="1:57" ht="13" x14ac:dyDescent="0.3">
      <c r="A18" s="201"/>
      <c r="B18" s="197"/>
      <c r="C18" s="208"/>
      <c r="D18" s="196"/>
      <c r="E18" s="202"/>
      <c r="F18" s="166"/>
      <c r="G18" s="170"/>
      <c r="H18" s="171"/>
      <c r="I18" s="203"/>
      <c r="J18" s="34"/>
      <c r="K18" s="204"/>
      <c r="L18" s="171"/>
      <c r="M18" s="169"/>
      <c r="N18" s="166"/>
      <c r="O18" s="171"/>
      <c r="P18" s="203"/>
      <c r="Q18" s="66"/>
      <c r="R18" s="204"/>
      <c r="S18" s="171"/>
      <c r="T18" s="34"/>
      <c r="U18" s="166"/>
      <c r="V18" s="171"/>
      <c r="W18" s="34"/>
      <c r="X18" s="205"/>
      <c r="Y18" s="207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</row>
    <row r="19" spans="1:57" ht="13" x14ac:dyDescent="0.3">
      <c r="A19" s="201"/>
      <c r="B19" s="197"/>
      <c r="C19" s="208"/>
      <c r="D19" s="196"/>
      <c r="E19" s="202"/>
      <c r="F19" s="170"/>
      <c r="G19" s="170"/>
      <c r="H19" s="171"/>
      <c r="I19" s="203"/>
      <c r="J19" s="34"/>
      <c r="K19" s="204"/>
      <c r="L19" s="171"/>
      <c r="M19" s="66"/>
      <c r="N19" s="166"/>
      <c r="O19" s="171"/>
      <c r="P19" s="203"/>
      <c r="Q19" s="66"/>
      <c r="R19" s="204"/>
      <c r="S19" s="171"/>
      <c r="T19" s="34"/>
      <c r="U19" s="166"/>
      <c r="V19" s="171"/>
      <c r="W19" s="34"/>
      <c r="X19" s="205"/>
      <c r="Y19" s="207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</row>
    <row r="20" spans="1:57" x14ac:dyDescent="0.25">
      <c r="A20" s="201"/>
      <c r="B20" s="197"/>
      <c r="C20" s="197"/>
      <c r="D20" s="196"/>
      <c r="E20" s="202"/>
      <c r="F20" s="34"/>
      <c r="G20" s="166"/>
      <c r="H20" s="171"/>
      <c r="I20" s="203"/>
      <c r="J20" s="34"/>
      <c r="K20" s="204"/>
      <c r="L20" s="171"/>
      <c r="M20" s="66"/>
      <c r="N20" s="166"/>
      <c r="O20" s="171"/>
      <c r="P20" s="203"/>
      <c r="Q20" s="66"/>
      <c r="R20" s="204"/>
      <c r="S20" s="171"/>
      <c r="T20" s="34"/>
      <c r="U20" s="166"/>
      <c r="V20" s="171"/>
      <c r="W20" s="34"/>
      <c r="X20" s="205"/>
      <c r="Y20" s="207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</row>
    <row r="21" spans="1:57" x14ac:dyDescent="0.25">
      <c r="A21" s="201"/>
      <c r="B21" s="197"/>
      <c r="C21" s="197"/>
      <c r="D21" s="196"/>
      <c r="E21" s="202"/>
      <c r="F21" s="166"/>
      <c r="G21" s="166"/>
      <c r="H21" s="171"/>
      <c r="I21" s="203"/>
      <c r="J21" s="34"/>
      <c r="K21" s="204"/>
      <c r="L21" s="171"/>
      <c r="M21" s="66"/>
      <c r="N21" s="166"/>
      <c r="O21" s="171"/>
      <c r="P21" s="203"/>
      <c r="Q21" s="66"/>
      <c r="R21" s="204"/>
      <c r="S21" s="171"/>
      <c r="T21" s="34"/>
      <c r="U21" s="166"/>
      <c r="V21" s="171"/>
      <c r="W21" s="34"/>
      <c r="X21" s="205"/>
      <c r="Y21" s="207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</row>
    <row r="22" spans="1:57" x14ac:dyDescent="0.25">
      <c r="A22" s="201"/>
      <c r="B22" s="197"/>
      <c r="C22" s="197"/>
      <c r="D22" s="196"/>
      <c r="E22" s="202"/>
      <c r="F22" s="34"/>
      <c r="G22" s="166"/>
      <c r="H22" s="171"/>
      <c r="I22" s="203"/>
      <c r="J22" s="34"/>
      <c r="K22" s="204"/>
      <c r="L22" s="171"/>
      <c r="M22" s="66"/>
      <c r="N22" s="166"/>
      <c r="O22" s="171"/>
      <c r="P22" s="203"/>
      <c r="Q22" s="66"/>
      <c r="R22" s="204"/>
      <c r="S22" s="171"/>
      <c r="T22" s="34"/>
      <c r="U22" s="166"/>
      <c r="V22" s="171"/>
      <c r="W22" s="34"/>
      <c r="X22" s="205"/>
      <c r="Y22" s="207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</row>
    <row r="23" spans="1:57" x14ac:dyDescent="0.25">
      <c r="A23" s="201"/>
      <c r="B23" s="197"/>
      <c r="C23" s="197"/>
      <c r="D23" s="196"/>
      <c r="E23" s="202"/>
      <c r="F23" s="34"/>
      <c r="G23" s="166"/>
      <c r="H23" s="171"/>
      <c r="I23" s="203"/>
      <c r="J23" s="34"/>
      <c r="K23" s="204"/>
      <c r="L23" s="171"/>
      <c r="M23" s="66"/>
      <c r="N23" s="166"/>
      <c r="O23" s="171"/>
      <c r="P23" s="203"/>
      <c r="Q23" s="66"/>
      <c r="R23" s="204"/>
      <c r="S23" s="171"/>
      <c r="T23" s="34"/>
      <c r="U23" s="166"/>
      <c r="V23" s="171"/>
      <c r="W23" s="34"/>
      <c r="X23" s="205"/>
      <c r="Y23" s="207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</row>
    <row r="24" spans="1:57" x14ac:dyDescent="0.25">
      <c r="A24" s="201"/>
      <c r="B24" s="197"/>
      <c r="C24" s="197"/>
      <c r="D24" s="196"/>
      <c r="E24" s="202"/>
      <c r="F24" s="166"/>
      <c r="G24" s="166"/>
      <c r="H24" s="171"/>
      <c r="I24" s="203"/>
      <c r="J24" s="34"/>
      <c r="K24" s="204"/>
      <c r="L24" s="171"/>
      <c r="M24" s="66"/>
      <c r="N24" s="166"/>
      <c r="O24" s="171"/>
      <c r="P24" s="203"/>
      <c r="Q24" s="66"/>
      <c r="R24" s="204"/>
      <c r="S24" s="171"/>
      <c r="T24" s="34"/>
      <c r="U24" s="166"/>
      <c r="V24" s="171"/>
      <c r="W24" s="34"/>
      <c r="X24" s="205"/>
      <c r="Y24" s="207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</row>
    <row r="25" spans="1:57" x14ac:dyDescent="0.25">
      <c r="A25" s="201"/>
      <c r="B25" s="197"/>
      <c r="C25" s="197"/>
      <c r="D25" s="196"/>
      <c r="E25" s="202"/>
      <c r="F25" s="166"/>
      <c r="G25" s="166"/>
      <c r="H25" s="171"/>
      <c r="I25" s="203"/>
      <c r="J25" s="34"/>
      <c r="K25" s="204"/>
      <c r="L25" s="171"/>
      <c r="M25" s="66"/>
      <c r="N25" s="166"/>
      <c r="O25" s="171"/>
      <c r="P25" s="164"/>
      <c r="Q25" s="66"/>
      <c r="R25" s="164"/>
      <c r="S25" s="171"/>
      <c r="T25" s="34"/>
      <c r="U25" s="34"/>
      <c r="V25" s="171"/>
      <c r="W25" s="34"/>
      <c r="X25" s="205"/>
      <c r="Y25" s="207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</row>
    <row r="26" spans="1:57" x14ac:dyDescent="0.25">
      <c r="A26" s="201"/>
      <c r="B26" s="197"/>
      <c r="C26" s="197"/>
      <c r="D26" s="196"/>
      <c r="E26" s="202"/>
      <c r="F26" s="166"/>
      <c r="G26" s="166"/>
      <c r="H26" s="171"/>
      <c r="I26" s="203"/>
      <c r="J26" s="34"/>
      <c r="K26" s="204"/>
      <c r="L26" s="171"/>
      <c r="M26" s="66"/>
      <c r="N26" s="166"/>
      <c r="O26" s="171"/>
      <c r="P26" s="164"/>
      <c r="Q26" s="66"/>
      <c r="R26" s="164"/>
      <c r="S26" s="171"/>
      <c r="T26" s="34"/>
      <c r="U26" s="34"/>
      <c r="V26" s="171"/>
      <c r="W26" s="34"/>
      <c r="X26" s="205"/>
      <c r="Y26" s="207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</row>
    <row r="27" spans="1:57" x14ac:dyDescent="0.25">
      <c r="A27" s="201"/>
      <c r="B27" s="197"/>
      <c r="C27" s="197"/>
      <c r="D27" s="196"/>
      <c r="E27" s="202"/>
      <c r="F27" s="166"/>
      <c r="G27" s="166"/>
      <c r="H27" s="171"/>
      <c r="I27" s="203"/>
      <c r="J27" s="34"/>
      <c r="K27" s="204"/>
      <c r="L27" s="171"/>
      <c r="M27" s="66"/>
      <c r="N27" s="166"/>
      <c r="O27" s="171"/>
      <c r="P27" s="164"/>
      <c r="Q27" s="66"/>
      <c r="R27" s="164"/>
      <c r="S27" s="171"/>
      <c r="T27" s="34"/>
      <c r="U27" s="34"/>
      <c r="V27" s="171"/>
      <c r="W27" s="34"/>
      <c r="X27" s="205"/>
      <c r="Y27" s="207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</row>
    <row r="28" spans="1:57" x14ac:dyDescent="0.25">
      <c r="A28" s="201"/>
      <c r="B28" s="197"/>
      <c r="C28" s="197"/>
      <c r="D28" s="196"/>
      <c r="E28" s="202"/>
      <c r="F28" s="166"/>
      <c r="G28" s="166"/>
      <c r="H28" s="171"/>
      <c r="I28" s="203"/>
      <c r="J28" s="34"/>
      <c r="K28" s="204"/>
      <c r="L28" s="171"/>
      <c r="M28" s="66"/>
      <c r="N28" s="166"/>
      <c r="O28" s="171"/>
      <c r="P28" s="164"/>
      <c r="Q28" s="66"/>
      <c r="R28" s="164"/>
      <c r="S28" s="171"/>
      <c r="T28" s="34"/>
      <c r="U28" s="34"/>
      <c r="V28" s="34"/>
      <c r="W28" s="34"/>
      <c r="X28" s="205"/>
      <c r="Y28" s="207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</row>
    <row r="29" spans="1:57" x14ac:dyDescent="0.25">
      <c r="A29" s="201"/>
      <c r="B29" s="197"/>
      <c r="C29" s="197"/>
      <c r="D29" s="196"/>
      <c r="E29" s="202"/>
      <c r="F29" s="166"/>
      <c r="G29" s="166"/>
      <c r="H29" s="171"/>
      <c r="I29" s="203"/>
      <c r="J29" s="34"/>
      <c r="K29" s="204"/>
      <c r="L29" s="171"/>
      <c r="M29" s="66"/>
      <c r="N29" s="166"/>
      <c r="O29" s="171"/>
      <c r="P29" s="34"/>
      <c r="Q29" s="34"/>
      <c r="R29" s="34"/>
      <c r="S29" s="171"/>
      <c r="T29" s="34"/>
      <c r="U29" s="34"/>
      <c r="V29" s="34"/>
      <c r="W29" s="34"/>
      <c r="X29" s="205"/>
      <c r="Y29" s="205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</row>
    <row r="30" spans="1:57" x14ac:dyDescent="0.25">
      <c r="A30" s="209"/>
      <c r="B30" s="197"/>
      <c r="C30" s="197"/>
      <c r="D30" s="196"/>
      <c r="E30" s="202"/>
      <c r="F30" s="166"/>
      <c r="G30" s="166"/>
      <c r="H30" s="171"/>
      <c r="I30" s="164"/>
      <c r="J30" s="34"/>
      <c r="K30" s="164"/>
      <c r="L30" s="171"/>
      <c r="M30" s="66"/>
      <c r="N30" s="34"/>
      <c r="O30" s="171"/>
      <c r="P30" s="34"/>
      <c r="Q30" s="34"/>
      <c r="R30" s="34"/>
      <c r="S30" s="171"/>
      <c r="T30" s="34"/>
      <c r="U30" s="34"/>
      <c r="V30" s="34"/>
      <c r="W30" s="34"/>
      <c r="X30" s="205"/>
      <c r="Y30" s="205"/>
      <c r="Z30" s="168"/>
      <c r="AA30" s="166"/>
      <c r="AB30" s="166"/>
      <c r="AC30" s="166"/>
      <c r="AD30" s="166"/>
      <c r="AE30" s="166"/>
      <c r="AF30" s="166"/>
      <c r="AG30" s="166"/>
      <c r="AH30" s="166"/>
      <c r="AI30" s="166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</row>
    <row r="31" spans="1:57" ht="13" x14ac:dyDescent="0.3">
      <c r="A31" s="209"/>
      <c r="B31" s="197"/>
      <c r="C31" s="208"/>
      <c r="D31" s="196"/>
      <c r="E31" s="202"/>
      <c r="F31" s="197"/>
      <c r="G31" s="170"/>
      <c r="H31" s="171"/>
      <c r="I31" s="164"/>
      <c r="J31" s="34"/>
      <c r="K31" s="164"/>
      <c r="L31" s="171"/>
      <c r="M31" s="66"/>
      <c r="N31" s="34"/>
      <c r="O31" s="171"/>
      <c r="P31" s="34"/>
      <c r="Q31" s="34"/>
      <c r="R31" s="34"/>
      <c r="S31" s="34"/>
      <c r="T31" s="34"/>
      <c r="U31" s="34"/>
      <c r="V31" s="34"/>
      <c r="W31" s="34"/>
      <c r="X31" s="205"/>
      <c r="Y31" s="205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</row>
    <row r="32" spans="1:57" x14ac:dyDescent="0.25">
      <c r="A32" s="209"/>
      <c r="B32" s="197"/>
      <c r="C32" s="197"/>
      <c r="D32" s="196"/>
      <c r="E32" s="202"/>
      <c r="F32" s="166"/>
      <c r="G32" s="166"/>
      <c r="H32" s="171"/>
      <c r="I32" s="164"/>
      <c r="J32" s="34"/>
      <c r="K32" s="164"/>
      <c r="L32" s="171"/>
      <c r="M32" s="66"/>
      <c r="N32" s="34"/>
      <c r="O32" s="171"/>
      <c r="P32" s="34"/>
      <c r="Q32" s="34"/>
      <c r="R32" s="34"/>
      <c r="S32" s="34"/>
      <c r="T32" s="34"/>
      <c r="U32" s="34"/>
      <c r="V32" s="34"/>
      <c r="W32" s="34"/>
      <c r="X32" s="205"/>
      <c r="Y32" s="205"/>
      <c r="Z32" s="166"/>
      <c r="AA32" s="166"/>
      <c r="AB32" s="168"/>
      <c r="AC32" s="168"/>
      <c r="AD32" s="166"/>
      <c r="AE32" s="166"/>
      <c r="AF32" s="166"/>
      <c r="AG32" s="166"/>
      <c r="AH32" s="166"/>
      <c r="AI32" s="166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</row>
    <row r="33" spans="1:57" x14ac:dyDescent="0.25">
      <c r="A33" s="209"/>
      <c r="B33" s="197"/>
      <c r="C33" s="197"/>
      <c r="D33" s="196"/>
      <c r="E33" s="202"/>
      <c r="F33" s="166"/>
      <c r="G33" s="166"/>
      <c r="H33" s="171"/>
      <c r="I33" s="164"/>
      <c r="J33" s="34"/>
      <c r="K33" s="164"/>
      <c r="L33" s="171"/>
      <c r="M33" s="66"/>
      <c r="N33" s="34"/>
      <c r="O33" s="171"/>
      <c r="P33" s="34"/>
      <c r="Q33" s="34"/>
      <c r="R33" s="34"/>
      <c r="S33" s="34"/>
      <c r="T33" s="34"/>
      <c r="U33" s="34"/>
      <c r="V33" s="34"/>
      <c r="W33" s="34"/>
      <c r="X33" s="205"/>
      <c r="Y33" s="205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</row>
    <row r="34" spans="1:57" x14ac:dyDescent="0.25">
      <c r="A34" s="209"/>
      <c r="B34" s="197"/>
      <c r="C34" s="197"/>
      <c r="D34" s="196"/>
      <c r="E34" s="202"/>
      <c r="F34" s="166"/>
      <c r="G34" s="166"/>
      <c r="H34" s="171"/>
      <c r="I34" s="164"/>
      <c r="J34" s="34"/>
      <c r="K34" s="164"/>
      <c r="L34" s="171"/>
      <c r="M34" s="66"/>
      <c r="N34" s="34"/>
      <c r="O34" s="171"/>
      <c r="P34" s="34"/>
      <c r="Q34" s="34"/>
      <c r="R34" s="34"/>
      <c r="S34" s="34"/>
      <c r="T34" s="34"/>
      <c r="U34" s="34"/>
      <c r="V34" s="34"/>
      <c r="W34" s="34"/>
      <c r="X34" s="205"/>
      <c r="Y34" s="205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</row>
    <row r="35" spans="1:57" x14ac:dyDescent="0.25">
      <c r="A35" s="209"/>
      <c r="B35" s="197"/>
      <c r="C35" s="197"/>
      <c r="D35" s="196"/>
      <c r="E35" s="202"/>
      <c r="F35" s="166"/>
      <c r="G35" s="166"/>
      <c r="H35" s="171"/>
      <c r="I35" s="164"/>
      <c r="J35" s="34"/>
      <c r="K35" s="164"/>
      <c r="L35" s="171"/>
      <c r="M35" s="66"/>
      <c r="N35" s="34"/>
      <c r="O35" s="171"/>
      <c r="P35" s="34"/>
      <c r="Q35" s="34"/>
      <c r="R35" s="34"/>
      <c r="S35" s="34"/>
      <c r="T35" s="34"/>
      <c r="U35" s="34"/>
      <c r="V35" s="34"/>
      <c r="W35" s="34"/>
      <c r="X35" s="205"/>
      <c r="Y35" s="205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</row>
    <row r="36" spans="1:57" x14ac:dyDescent="0.25">
      <c r="A36" s="209"/>
      <c r="B36" s="197"/>
      <c r="C36" s="197"/>
      <c r="D36" s="196"/>
      <c r="E36" s="202"/>
      <c r="F36" s="166"/>
      <c r="G36" s="166"/>
      <c r="H36" s="171"/>
      <c r="I36" s="34"/>
      <c r="J36" s="34"/>
      <c r="K36" s="34"/>
      <c r="L36" s="171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205"/>
      <c r="Y36" s="205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</row>
    <row r="37" spans="1:57" x14ac:dyDescent="0.25">
      <c r="A37" s="209"/>
      <c r="B37" s="197"/>
      <c r="C37" s="197"/>
      <c r="D37" s="196"/>
      <c r="E37" s="202"/>
      <c r="F37" s="166"/>
      <c r="G37" s="166"/>
      <c r="H37" s="171"/>
      <c r="I37" s="34"/>
      <c r="J37" s="34"/>
      <c r="K37" s="34"/>
      <c r="L37" s="171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205"/>
      <c r="Y37" s="205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</row>
    <row r="38" spans="1:57" x14ac:dyDescent="0.25">
      <c r="A38" s="209"/>
      <c r="B38" s="197"/>
      <c r="C38" s="197"/>
      <c r="D38" s="196"/>
      <c r="E38" s="202"/>
      <c r="F38" s="166"/>
      <c r="G38" s="166"/>
      <c r="H38" s="171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205"/>
      <c r="Y38" s="205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</row>
    <row r="39" spans="1:57" ht="13" x14ac:dyDescent="0.3">
      <c r="A39" s="209"/>
      <c r="B39" s="197"/>
      <c r="C39" s="208"/>
      <c r="D39" s="196"/>
      <c r="E39" s="202"/>
      <c r="F39" s="170"/>
      <c r="G39" s="170"/>
      <c r="H39" s="171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205"/>
      <c r="Y39" s="205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</row>
    <row r="40" spans="1:57" x14ac:dyDescent="0.25">
      <c r="A40" s="201"/>
      <c r="B40" s="197"/>
      <c r="C40" s="197"/>
      <c r="D40" s="196"/>
      <c r="E40" s="202"/>
      <c r="F40" s="166"/>
      <c r="G40" s="166"/>
      <c r="H40" s="171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205"/>
      <c r="Y40" s="205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</row>
    <row r="41" spans="1:57" x14ac:dyDescent="0.25">
      <c r="A41" s="201"/>
      <c r="B41" s="197"/>
      <c r="C41" s="197"/>
      <c r="D41" s="196"/>
      <c r="E41" s="202"/>
      <c r="F41" s="166"/>
      <c r="G41" s="166"/>
      <c r="H41" s="171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205"/>
      <c r="Y41" s="205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</row>
    <row r="42" spans="1:57" ht="13" x14ac:dyDescent="0.3">
      <c r="A42" s="201"/>
      <c r="B42" s="197"/>
      <c r="C42" s="208"/>
      <c r="D42" s="196"/>
      <c r="E42" s="202"/>
      <c r="F42" s="170"/>
      <c r="G42" s="170"/>
      <c r="H42" s="171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205"/>
      <c r="Y42" s="205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</row>
    <row r="43" spans="1:57" ht="13" x14ac:dyDescent="0.3">
      <c r="A43" s="201"/>
      <c r="B43" s="197"/>
      <c r="C43" s="208"/>
      <c r="D43" s="196"/>
      <c r="E43" s="202"/>
      <c r="F43" s="170"/>
      <c r="G43" s="170"/>
      <c r="H43" s="171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205"/>
      <c r="Y43" s="205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</row>
    <row r="44" spans="1:57" ht="13" x14ac:dyDescent="0.3">
      <c r="A44" s="201"/>
      <c r="B44" s="197"/>
      <c r="C44" s="208"/>
      <c r="D44" s="196"/>
      <c r="E44" s="202"/>
      <c r="F44" s="170"/>
      <c r="G44" s="170"/>
      <c r="H44" s="171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205"/>
      <c r="Y44" s="205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</row>
    <row r="45" spans="1:57" x14ac:dyDescent="0.25">
      <c r="A45" s="209"/>
      <c r="B45" s="197"/>
      <c r="C45" s="197"/>
      <c r="D45" s="196"/>
      <c r="E45" s="202"/>
      <c r="F45" s="166"/>
      <c r="G45" s="166"/>
      <c r="H45" s="171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205"/>
      <c r="Y45" s="205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</row>
    <row r="46" spans="1:57" x14ac:dyDescent="0.25">
      <c r="A46" s="201"/>
      <c r="B46" s="197"/>
      <c r="C46" s="197"/>
      <c r="D46" s="196"/>
      <c r="E46" s="202"/>
      <c r="F46" s="166"/>
      <c r="G46" s="166"/>
      <c r="H46" s="171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205"/>
      <c r="Y46" s="205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</row>
    <row r="47" spans="1:57" x14ac:dyDescent="0.25">
      <c r="A47" s="201"/>
      <c r="B47" s="197"/>
      <c r="C47" s="197"/>
      <c r="D47" s="196"/>
      <c r="E47" s="202"/>
      <c r="F47" s="166"/>
      <c r="G47" s="166"/>
      <c r="H47" s="171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205"/>
      <c r="Y47" s="205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</row>
    <row r="48" spans="1:57" x14ac:dyDescent="0.25">
      <c r="A48" s="201"/>
      <c r="B48" s="197"/>
      <c r="C48" s="197"/>
      <c r="D48" s="196"/>
      <c r="E48" s="202"/>
      <c r="F48" s="166"/>
      <c r="G48" s="166"/>
      <c r="H48" s="171"/>
      <c r="I48" s="211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205"/>
      <c r="Y48" s="205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</row>
    <row r="49" spans="1:57" x14ac:dyDescent="0.25">
      <c r="A49" s="210"/>
      <c r="B49" s="197"/>
      <c r="C49" s="197"/>
      <c r="D49" s="196"/>
      <c r="E49" s="202"/>
      <c r="F49" s="166"/>
      <c r="G49" s="166"/>
      <c r="H49" s="171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205"/>
      <c r="Y49" s="205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</row>
    <row r="50" spans="1:57" x14ac:dyDescent="0.25">
      <c r="A50" s="210"/>
      <c r="B50" s="197"/>
      <c r="C50" s="197"/>
      <c r="D50" s="196"/>
      <c r="E50" s="202"/>
      <c r="F50" s="166"/>
      <c r="G50" s="166"/>
      <c r="H50" s="171"/>
      <c r="X50" s="152"/>
      <c r="Y50" s="152"/>
    </row>
    <row r="51" spans="1:57" x14ac:dyDescent="0.25">
      <c r="A51" s="210"/>
      <c r="B51" s="197"/>
      <c r="C51" s="197"/>
      <c r="D51" s="196"/>
      <c r="E51" s="202"/>
      <c r="F51" s="166"/>
      <c r="G51" s="166"/>
      <c r="H51" s="171"/>
      <c r="X51" s="152"/>
      <c r="Y51" s="152"/>
    </row>
    <row r="52" spans="1:57" x14ac:dyDescent="0.25">
      <c r="A52" s="210"/>
      <c r="B52" s="197"/>
      <c r="C52" s="197"/>
      <c r="D52" s="196"/>
      <c r="E52" s="202"/>
      <c r="F52" s="166"/>
      <c r="G52" s="166"/>
      <c r="H52" s="171"/>
      <c r="X52" s="152"/>
      <c r="Y52" s="152"/>
    </row>
    <row r="53" spans="1:57" x14ac:dyDescent="0.25">
      <c r="A53" s="210"/>
      <c r="B53" s="197"/>
      <c r="C53" s="197"/>
      <c r="D53" s="196"/>
      <c r="E53" s="202"/>
      <c r="F53" s="166"/>
      <c r="G53" s="166"/>
      <c r="H53" s="171"/>
      <c r="X53" s="152"/>
      <c r="Y53" s="152"/>
    </row>
    <row r="54" spans="1:57" x14ac:dyDescent="0.25">
      <c r="A54" s="210"/>
      <c r="B54" s="197"/>
      <c r="C54" s="197"/>
      <c r="D54" s="196"/>
      <c r="E54" s="202"/>
      <c r="F54" s="166"/>
      <c r="G54" s="166"/>
      <c r="H54" s="171"/>
      <c r="X54" s="152"/>
      <c r="Y54" s="152"/>
    </row>
    <row r="55" spans="1:57" x14ac:dyDescent="0.25">
      <c r="A55" s="150"/>
      <c r="B55" s="146"/>
      <c r="C55" s="146"/>
      <c r="D55" s="147"/>
      <c r="E55" s="151"/>
      <c r="F55" s="142"/>
      <c r="G55" s="142"/>
      <c r="H55" s="138" t="str">
        <f t="shared" ref="H55:H63" si="1">IF(G55="PASS",IF(D55=0,IF(D55="","",C55),""),"")</f>
        <v/>
      </c>
      <c r="X55" s="152"/>
      <c r="Y55" s="152"/>
    </row>
    <row r="56" spans="1:57" x14ac:dyDescent="0.25">
      <c r="A56" s="150"/>
      <c r="B56" s="146"/>
      <c r="C56" s="146"/>
      <c r="D56" s="147"/>
      <c r="E56" s="151"/>
      <c r="F56" s="142"/>
      <c r="G56" s="142"/>
      <c r="H56" s="138" t="str">
        <f t="shared" si="1"/>
        <v/>
      </c>
      <c r="X56" s="152"/>
      <c r="Y56" s="152"/>
    </row>
    <row r="57" spans="1:57" x14ac:dyDescent="0.25">
      <c r="A57" s="150"/>
      <c r="B57" s="146"/>
      <c r="C57" s="146"/>
      <c r="D57" s="147"/>
      <c r="E57" s="151"/>
      <c r="F57" s="142"/>
      <c r="G57" s="142"/>
      <c r="H57" s="138" t="str">
        <f t="shared" si="1"/>
        <v/>
      </c>
      <c r="X57" s="152"/>
      <c r="Y57" s="152"/>
    </row>
    <row r="58" spans="1:57" x14ac:dyDescent="0.25">
      <c r="A58" s="150"/>
      <c r="B58" s="146"/>
      <c r="C58" s="146"/>
      <c r="D58" s="147"/>
      <c r="E58" s="151"/>
      <c r="F58" s="142"/>
      <c r="G58" s="142"/>
      <c r="H58" s="138" t="str">
        <f t="shared" si="1"/>
        <v/>
      </c>
      <c r="X58" s="152"/>
      <c r="Y58" s="152"/>
    </row>
    <row r="59" spans="1:57" x14ac:dyDescent="0.25">
      <c r="A59" s="150"/>
      <c r="B59" s="146"/>
      <c r="C59" s="146"/>
      <c r="D59" s="147"/>
      <c r="E59" s="151"/>
      <c r="F59" s="142"/>
      <c r="G59" s="142"/>
      <c r="H59" s="138" t="str">
        <f t="shared" si="1"/>
        <v/>
      </c>
      <c r="X59" s="152"/>
      <c r="Y59" s="152"/>
    </row>
    <row r="60" spans="1:57" x14ac:dyDescent="0.25">
      <c r="A60" s="150"/>
      <c r="B60" s="146"/>
      <c r="C60" s="146"/>
      <c r="D60" s="147"/>
      <c r="E60" s="151"/>
      <c r="F60" s="142"/>
      <c r="G60" s="142"/>
      <c r="H60" s="138" t="str">
        <f t="shared" si="1"/>
        <v/>
      </c>
    </row>
    <row r="61" spans="1:57" x14ac:dyDescent="0.25">
      <c r="A61" s="150"/>
      <c r="B61" s="146"/>
      <c r="C61" s="146"/>
      <c r="D61" s="147"/>
      <c r="E61" s="151"/>
      <c r="F61" s="142"/>
      <c r="G61" s="142"/>
      <c r="H61" s="138" t="str">
        <f t="shared" si="1"/>
        <v/>
      </c>
    </row>
    <row r="62" spans="1:57" x14ac:dyDescent="0.25">
      <c r="A62" s="150"/>
      <c r="B62" s="146"/>
      <c r="C62" s="146"/>
      <c r="D62" s="147"/>
      <c r="E62" s="151"/>
      <c r="F62" s="142"/>
      <c r="G62" s="142"/>
      <c r="H62" s="138" t="str">
        <f t="shared" si="1"/>
        <v/>
      </c>
      <c r="X62" s="144"/>
      <c r="Y62" s="144"/>
    </row>
    <row r="63" spans="1:57" x14ac:dyDescent="0.25">
      <c r="A63" s="150"/>
      <c r="B63" s="146"/>
      <c r="C63" s="146"/>
      <c r="D63" s="147"/>
      <c r="E63" s="151"/>
      <c r="F63" s="142"/>
      <c r="G63" s="142"/>
      <c r="H63" s="138" t="str">
        <f t="shared" si="1"/>
        <v/>
      </c>
    </row>
    <row r="64" spans="1:57" x14ac:dyDescent="0.25">
      <c r="A64" s="150"/>
      <c r="B64" s="146"/>
      <c r="C64" s="146"/>
      <c r="D64" s="147"/>
      <c r="E64" s="151"/>
      <c r="F64" s="142"/>
      <c r="G64" s="142"/>
      <c r="H64" s="138" t="str">
        <f t="shared" ref="H64:H87" si="2">IF(G64="PASS",IF(D64=0,IF(D64="","",C64),""),"")</f>
        <v/>
      </c>
    </row>
    <row r="65" spans="1:8" x14ac:dyDescent="0.25">
      <c r="A65" s="150"/>
      <c r="B65" s="146"/>
      <c r="C65" s="146"/>
      <c r="D65" s="147"/>
      <c r="E65" s="151"/>
      <c r="F65" s="142"/>
      <c r="G65" s="142"/>
      <c r="H65" s="138" t="str">
        <f t="shared" si="2"/>
        <v/>
      </c>
    </row>
    <row r="66" spans="1:8" x14ac:dyDescent="0.25">
      <c r="A66" s="150"/>
      <c r="B66" s="146"/>
      <c r="C66" s="146"/>
      <c r="D66" s="147"/>
      <c r="E66" s="151"/>
      <c r="F66" s="142"/>
      <c r="G66" s="142"/>
      <c r="H66" s="138" t="str">
        <f t="shared" si="2"/>
        <v/>
      </c>
    </row>
    <row r="67" spans="1:8" x14ac:dyDescent="0.25">
      <c r="A67" s="150"/>
      <c r="B67" s="146"/>
      <c r="C67" s="146"/>
      <c r="D67" s="147"/>
      <c r="E67" s="151"/>
      <c r="F67" s="142"/>
      <c r="G67" s="142"/>
      <c r="H67" s="138" t="str">
        <f t="shared" si="2"/>
        <v/>
      </c>
    </row>
    <row r="68" spans="1:8" x14ac:dyDescent="0.25">
      <c r="A68" s="150"/>
      <c r="B68" s="146"/>
      <c r="C68" s="146"/>
      <c r="D68" s="147"/>
      <c r="E68" s="151"/>
      <c r="F68" s="142"/>
      <c r="G68" s="142"/>
      <c r="H68" s="138" t="str">
        <f t="shared" si="2"/>
        <v/>
      </c>
    </row>
    <row r="69" spans="1:8" x14ac:dyDescent="0.25">
      <c r="A69" s="150"/>
      <c r="B69" s="146"/>
      <c r="C69" s="146"/>
      <c r="D69" s="147"/>
      <c r="E69" s="151"/>
      <c r="F69" s="142"/>
      <c r="G69" s="142"/>
      <c r="H69" s="138" t="str">
        <f t="shared" si="2"/>
        <v/>
      </c>
    </row>
    <row r="70" spans="1:8" x14ac:dyDescent="0.25">
      <c r="A70" s="150"/>
      <c r="B70" s="146"/>
      <c r="C70" s="146"/>
      <c r="D70" s="147"/>
      <c r="E70" s="151"/>
      <c r="F70" s="142"/>
      <c r="G70" s="142"/>
      <c r="H70" s="138" t="str">
        <f t="shared" si="2"/>
        <v/>
      </c>
    </row>
    <row r="71" spans="1:8" x14ac:dyDescent="0.25">
      <c r="A71" s="150"/>
      <c r="B71" s="146"/>
      <c r="C71" s="146"/>
      <c r="D71" s="147"/>
      <c r="E71" s="151"/>
      <c r="F71" s="142"/>
      <c r="G71" s="142"/>
      <c r="H71" s="138" t="str">
        <f t="shared" si="2"/>
        <v/>
      </c>
    </row>
    <row r="72" spans="1:8" x14ac:dyDescent="0.25">
      <c r="A72" s="150"/>
      <c r="B72" s="146"/>
      <c r="C72" s="146"/>
      <c r="D72" s="147"/>
      <c r="E72" s="151"/>
      <c r="F72" s="142"/>
      <c r="G72" s="142"/>
      <c r="H72" s="138" t="str">
        <f t="shared" si="2"/>
        <v/>
      </c>
    </row>
    <row r="73" spans="1:8" x14ac:dyDescent="0.25">
      <c r="A73" s="150"/>
      <c r="B73" s="146"/>
      <c r="C73" s="146"/>
      <c r="D73" s="147"/>
      <c r="E73" s="151"/>
      <c r="F73" s="142"/>
      <c r="G73" s="142"/>
      <c r="H73" s="138" t="str">
        <f t="shared" si="2"/>
        <v/>
      </c>
    </row>
    <row r="74" spans="1:8" x14ac:dyDescent="0.25">
      <c r="A74" s="150"/>
      <c r="B74" s="146"/>
      <c r="C74" s="146"/>
      <c r="D74" s="147"/>
      <c r="E74" s="151"/>
      <c r="F74" s="142"/>
      <c r="G74" s="142"/>
      <c r="H74" s="138" t="str">
        <f t="shared" si="2"/>
        <v/>
      </c>
    </row>
    <row r="75" spans="1:8" x14ac:dyDescent="0.25">
      <c r="A75" s="150"/>
      <c r="B75" s="146"/>
      <c r="C75" s="146"/>
      <c r="D75" s="147"/>
      <c r="E75" s="151"/>
      <c r="F75" s="142"/>
      <c r="G75" s="142"/>
      <c r="H75" s="138" t="str">
        <f t="shared" si="2"/>
        <v/>
      </c>
    </row>
    <row r="76" spans="1:8" x14ac:dyDescent="0.25">
      <c r="A76" s="150"/>
      <c r="B76" s="146"/>
      <c r="C76" s="146"/>
      <c r="D76" s="147"/>
      <c r="E76" s="151"/>
      <c r="F76" s="142"/>
      <c r="G76" s="142"/>
      <c r="H76" s="138" t="str">
        <f t="shared" si="2"/>
        <v/>
      </c>
    </row>
    <row r="77" spans="1:8" x14ac:dyDescent="0.25">
      <c r="A77" s="150"/>
      <c r="B77" s="146"/>
      <c r="C77" s="146"/>
      <c r="D77" s="147"/>
      <c r="E77" s="151"/>
      <c r="F77" s="142"/>
      <c r="G77" s="142"/>
      <c r="H77" s="138" t="str">
        <f t="shared" si="2"/>
        <v/>
      </c>
    </row>
    <row r="78" spans="1:8" x14ac:dyDescent="0.25">
      <c r="A78" s="150"/>
      <c r="B78" s="148"/>
      <c r="C78" s="146"/>
      <c r="D78" s="147"/>
      <c r="E78" s="151"/>
      <c r="F78" s="142"/>
      <c r="G78" s="142"/>
      <c r="H78" s="138" t="str">
        <f t="shared" si="2"/>
        <v/>
      </c>
    </row>
    <row r="79" spans="1:8" x14ac:dyDescent="0.25">
      <c r="A79" s="150"/>
      <c r="B79" s="148"/>
      <c r="C79" s="146"/>
      <c r="D79" s="147"/>
      <c r="E79" s="151"/>
      <c r="F79" s="142"/>
      <c r="G79" s="142"/>
      <c r="H79" s="138" t="str">
        <f t="shared" si="2"/>
        <v/>
      </c>
    </row>
    <row r="80" spans="1:8" x14ac:dyDescent="0.25">
      <c r="A80" s="150"/>
      <c r="B80" s="146"/>
      <c r="C80" s="146"/>
      <c r="D80" s="147"/>
      <c r="E80" s="151"/>
      <c r="F80" s="142"/>
      <c r="G80" s="142"/>
      <c r="H80" s="138" t="str">
        <f t="shared" si="2"/>
        <v/>
      </c>
    </row>
    <row r="81" spans="1:8" x14ac:dyDescent="0.25">
      <c r="A81" s="150"/>
      <c r="B81" s="146"/>
      <c r="C81" s="146"/>
      <c r="D81" s="147"/>
      <c r="E81" s="151"/>
      <c r="F81" s="142"/>
      <c r="G81" s="142"/>
      <c r="H81" s="138" t="str">
        <f t="shared" si="2"/>
        <v/>
      </c>
    </row>
    <row r="82" spans="1:8" x14ac:dyDescent="0.25">
      <c r="A82" s="150"/>
      <c r="B82" s="146"/>
      <c r="C82" s="146"/>
      <c r="D82" s="147"/>
      <c r="E82" s="151"/>
      <c r="F82" s="142"/>
      <c r="G82" s="142"/>
      <c r="H82" s="138" t="str">
        <f t="shared" si="2"/>
        <v/>
      </c>
    </row>
    <row r="83" spans="1:8" x14ac:dyDescent="0.25">
      <c r="A83" s="150"/>
      <c r="B83" s="146"/>
      <c r="C83" s="146"/>
      <c r="D83" s="147"/>
      <c r="E83" s="151"/>
      <c r="F83" s="142"/>
      <c r="G83" s="142"/>
      <c r="H83" s="138" t="str">
        <f t="shared" si="2"/>
        <v/>
      </c>
    </row>
    <row r="84" spans="1:8" x14ac:dyDescent="0.25">
      <c r="A84" s="150"/>
      <c r="B84" s="146"/>
      <c r="C84" s="146"/>
      <c r="D84" s="147"/>
      <c r="E84" s="151"/>
      <c r="F84" s="142"/>
      <c r="G84" s="142"/>
      <c r="H84" s="138" t="str">
        <f t="shared" si="2"/>
        <v/>
      </c>
    </row>
    <row r="85" spans="1:8" x14ac:dyDescent="0.25">
      <c r="A85" s="150"/>
      <c r="B85" s="146"/>
      <c r="C85" s="146"/>
      <c r="D85" s="147"/>
      <c r="E85" s="151"/>
      <c r="F85" s="142"/>
      <c r="G85" s="142"/>
      <c r="H85" s="138" t="str">
        <f t="shared" si="2"/>
        <v/>
      </c>
    </row>
    <row r="86" spans="1:8" x14ac:dyDescent="0.25">
      <c r="A86" s="150"/>
      <c r="B86" s="146"/>
      <c r="C86" s="146"/>
      <c r="D86" s="147"/>
      <c r="E86" s="151"/>
      <c r="F86" s="142"/>
      <c r="G86" s="142"/>
      <c r="H86" s="138" t="str">
        <f t="shared" si="2"/>
        <v/>
      </c>
    </row>
    <row r="87" spans="1:8" x14ac:dyDescent="0.25">
      <c r="A87" s="150"/>
      <c r="B87" s="146"/>
      <c r="C87" s="146"/>
      <c r="D87" s="147"/>
      <c r="E87" s="151"/>
      <c r="F87" s="142"/>
      <c r="G87" s="142"/>
      <c r="H87" s="138" t="str">
        <f t="shared" si="2"/>
        <v/>
      </c>
    </row>
    <row r="88" spans="1:8" x14ac:dyDescent="0.25">
      <c r="A88" s="150"/>
      <c r="B88" s="146"/>
      <c r="C88" s="146"/>
      <c r="D88" s="147"/>
      <c r="E88" s="151"/>
      <c r="F88" s="142"/>
      <c r="G88" s="142"/>
      <c r="H88" s="138"/>
    </row>
    <row r="89" spans="1:8" x14ac:dyDescent="0.25">
      <c r="A89" s="150"/>
      <c r="B89" s="146"/>
      <c r="C89" s="146"/>
      <c r="D89" s="147"/>
      <c r="E89" s="151"/>
      <c r="F89" s="142"/>
      <c r="G89" s="142"/>
      <c r="H89" s="138"/>
    </row>
    <row r="90" spans="1:8" x14ac:dyDescent="0.25">
      <c r="A90" s="150"/>
      <c r="B90" s="146"/>
      <c r="C90" s="146"/>
      <c r="D90" s="147"/>
      <c r="E90" s="151"/>
      <c r="F90" s="142"/>
      <c r="G90" s="142"/>
      <c r="H90" s="138"/>
    </row>
    <row r="91" spans="1:8" x14ac:dyDescent="0.25">
      <c r="A91" s="150"/>
      <c r="B91" s="146"/>
      <c r="C91" s="146"/>
      <c r="D91" s="147"/>
      <c r="E91" s="151"/>
      <c r="F91" s="142"/>
      <c r="G91" s="142"/>
      <c r="H91" s="138"/>
    </row>
    <row r="92" spans="1:8" ht="13" x14ac:dyDescent="0.3">
      <c r="A92" s="150"/>
      <c r="B92" s="146"/>
      <c r="C92" s="149"/>
      <c r="D92" s="147"/>
      <c r="E92" s="151"/>
      <c r="F92" s="142"/>
      <c r="G92" s="142"/>
      <c r="H92" s="138"/>
    </row>
    <row r="93" spans="1:8" ht="13" x14ac:dyDescent="0.3">
      <c r="A93" s="150"/>
      <c r="B93" s="146"/>
      <c r="C93" s="149"/>
      <c r="D93" s="147"/>
      <c r="E93" s="151"/>
      <c r="F93" s="142"/>
      <c r="G93" s="142"/>
      <c r="H93" s="138"/>
    </row>
    <row r="94" spans="1:8" x14ac:dyDescent="0.25">
      <c r="A94" s="150"/>
      <c r="B94" s="146"/>
      <c r="C94" s="146"/>
      <c r="D94" s="147"/>
      <c r="E94" s="151"/>
      <c r="F94" s="142"/>
      <c r="G94" s="142"/>
      <c r="H94" s="138"/>
    </row>
    <row r="95" spans="1:8" ht="13" x14ac:dyDescent="0.3">
      <c r="A95" s="150"/>
      <c r="B95" s="146"/>
      <c r="C95" s="149"/>
      <c r="D95" s="147"/>
      <c r="E95" s="151"/>
      <c r="F95" s="142"/>
      <c r="G95" s="142"/>
      <c r="H95" s="138"/>
    </row>
    <row r="96" spans="1:8" x14ac:dyDescent="0.25">
      <c r="A96" s="150"/>
      <c r="B96" s="146"/>
      <c r="C96" s="146"/>
      <c r="D96" s="147"/>
      <c r="E96" s="151"/>
      <c r="F96" s="142"/>
      <c r="G96" s="142"/>
      <c r="H96" s="138"/>
    </row>
    <row r="97" spans="1:8" x14ac:dyDescent="0.25">
      <c r="A97" s="150"/>
      <c r="B97" s="146"/>
      <c r="C97" s="146"/>
      <c r="D97" s="147"/>
      <c r="E97" s="151"/>
      <c r="F97" s="142"/>
      <c r="G97" s="142"/>
      <c r="H97" s="138"/>
    </row>
    <row r="98" spans="1:8" x14ac:dyDescent="0.25">
      <c r="A98" s="150"/>
      <c r="B98" s="146"/>
      <c r="C98" s="146"/>
      <c r="D98" s="147"/>
      <c r="E98" s="151"/>
      <c r="F98" s="142"/>
      <c r="G98" s="142"/>
      <c r="H98" s="138"/>
    </row>
    <row r="99" spans="1:8" x14ac:dyDescent="0.25">
      <c r="A99" s="150"/>
      <c r="B99" s="146"/>
      <c r="C99" s="146"/>
      <c r="D99" s="147"/>
      <c r="E99" s="151"/>
      <c r="F99" s="142"/>
      <c r="G99" s="142"/>
      <c r="H99" s="138"/>
    </row>
    <row r="100" spans="1:8" x14ac:dyDescent="0.25">
      <c r="A100" s="150"/>
      <c r="B100" s="146"/>
      <c r="C100" s="146"/>
      <c r="D100" s="147"/>
      <c r="E100" s="151"/>
      <c r="F100" s="142"/>
      <c r="G100" s="142"/>
      <c r="H100" s="138"/>
    </row>
    <row r="101" spans="1:8" x14ac:dyDescent="0.25">
      <c r="A101" s="150"/>
      <c r="B101" s="146"/>
      <c r="C101" s="146"/>
      <c r="D101" s="147"/>
      <c r="E101" s="151"/>
      <c r="F101" s="142"/>
      <c r="G101" s="142"/>
      <c r="H101" s="138"/>
    </row>
    <row r="102" spans="1:8" x14ac:dyDescent="0.25">
      <c r="A102" s="150"/>
      <c r="B102" s="146"/>
      <c r="C102" s="146"/>
      <c r="D102" s="147"/>
      <c r="E102" s="151"/>
      <c r="F102" s="142"/>
      <c r="G102" s="142"/>
      <c r="H102" s="138"/>
    </row>
    <row r="103" spans="1:8" x14ac:dyDescent="0.25">
      <c r="A103" s="150"/>
      <c r="B103" s="146"/>
      <c r="C103" s="146"/>
      <c r="D103" s="147"/>
      <c r="E103" s="151"/>
      <c r="F103" s="142"/>
      <c r="G103" s="142"/>
      <c r="H103" s="138"/>
    </row>
    <row r="104" spans="1:8" x14ac:dyDescent="0.25">
      <c r="A104" s="148"/>
      <c r="B104" s="146"/>
      <c r="C104" s="146"/>
      <c r="D104" s="147"/>
      <c r="E104" s="145"/>
      <c r="F104" s="142"/>
      <c r="G104" s="142"/>
      <c r="H104" s="138"/>
    </row>
    <row r="105" spans="1:8" x14ac:dyDescent="0.25">
      <c r="A105" s="148"/>
      <c r="B105" s="146"/>
      <c r="C105" s="146"/>
      <c r="D105" s="147"/>
      <c r="E105" s="145"/>
      <c r="F105" s="142"/>
      <c r="G105" s="142"/>
      <c r="H105" s="138"/>
    </row>
    <row r="106" spans="1:8" x14ac:dyDescent="0.25">
      <c r="A106" s="148"/>
      <c r="B106" s="146"/>
      <c r="C106" s="146"/>
      <c r="D106" s="147"/>
      <c r="E106" s="145"/>
      <c r="F106" s="142"/>
      <c r="G106" s="142"/>
      <c r="H106" s="138"/>
    </row>
    <row r="107" spans="1:8" x14ac:dyDescent="0.25">
      <c r="A107" s="148"/>
      <c r="B107" s="146"/>
      <c r="C107" s="146"/>
      <c r="D107" s="147"/>
      <c r="E107" s="145"/>
      <c r="F107" s="142"/>
      <c r="G107" s="142"/>
      <c r="H107" s="138"/>
    </row>
    <row r="108" spans="1:8" x14ac:dyDescent="0.25">
      <c r="A108" s="148"/>
      <c r="B108" s="146"/>
      <c r="C108" s="146"/>
      <c r="D108" s="147"/>
      <c r="E108" s="145"/>
      <c r="F108" s="142"/>
      <c r="G108" s="142"/>
      <c r="H108" s="138"/>
    </row>
    <row r="109" spans="1:8" x14ac:dyDescent="0.25">
      <c r="A109" s="148"/>
      <c r="B109" s="146"/>
      <c r="C109" s="146"/>
      <c r="D109" s="147"/>
      <c r="E109" s="145"/>
      <c r="F109" s="142"/>
      <c r="G109" s="142"/>
      <c r="H109" s="138"/>
    </row>
    <row r="110" spans="1:8" x14ac:dyDescent="0.25">
      <c r="A110" s="148"/>
      <c r="B110" s="146"/>
      <c r="C110" s="146"/>
      <c r="D110" s="147"/>
      <c r="E110" s="145"/>
      <c r="F110" s="142"/>
      <c r="G110" s="142"/>
      <c r="H110" s="138"/>
    </row>
    <row r="111" spans="1:8" x14ac:dyDescent="0.25">
      <c r="A111" s="148"/>
      <c r="B111" s="146"/>
      <c r="C111" s="146"/>
      <c r="D111" s="147"/>
      <c r="E111" s="145"/>
      <c r="F111" s="142"/>
      <c r="G111" s="142"/>
      <c r="H111" s="138" t="str">
        <f t="shared" ref="H111:H146" si="3">IF(G111="PASS",IF(D111=0,IF(D111="","",C111),""),"")</f>
        <v/>
      </c>
    </row>
    <row r="112" spans="1:8" x14ac:dyDescent="0.25">
      <c r="A112" s="148"/>
      <c r="B112" s="146"/>
      <c r="C112" s="146"/>
      <c r="D112" s="147"/>
      <c r="E112" s="145"/>
      <c r="F112" s="142"/>
      <c r="G112" s="142"/>
      <c r="H112" s="138" t="str">
        <f t="shared" si="3"/>
        <v/>
      </c>
    </row>
    <row r="113" spans="1:8" x14ac:dyDescent="0.25">
      <c r="A113" s="148"/>
      <c r="B113" s="146"/>
      <c r="C113" s="146"/>
      <c r="D113" s="147"/>
      <c r="E113" s="145"/>
      <c r="F113" s="142"/>
      <c r="G113" s="142"/>
      <c r="H113" s="138" t="str">
        <f t="shared" si="3"/>
        <v/>
      </c>
    </row>
    <row r="114" spans="1:8" x14ac:dyDescent="0.25">
      <c r="A114" s="146"/>
      <c r="B114" s="146"/>
      <c r="C114" s="146"/>
      <c r="D114" s="147"/>
      <c r="E114" s="145"/>
      <c r="F114" s="142"/>
      <c r="G114" s="142"/>
      <c r="H114" s="138" t="str">
        <f t="shared" si="3"/>
        <v/>
      </c>
    </row>
    <row r="115" spans="1:8" x14ac:dyDescent="0.25">
      <c r="A115" s="146"/>
      <c r="B115" s="146"/>
      <c r="C115" s="146"/>
      <c r="D115" s="147"/>
      <c r="E115" s="145"/>
      <c r="F115" s="142"/>
      <c r="G115" s="142"/>
      <c r="H115" s="138" t="str">
        <f t="shared" si="3"/>
        <v/>
      </c>
    </row>
    <row r="116" spans="1:8" x14ac:dyDescent="0.25">
      <c r="A116" s="146"/>
      <c r="B116" s="146"/>
      <c r="C116" s="146"/>
      <c r="D116" s="147"/>
      <c r="E116" s="145"/>
      <c r="F116" s="142"/>
      <c r="G116" s="142"/>
      <c r="H116" s="138" t="str">
        <f t="shared" si="3"/>
        <v/>
      </c>
    </row>
    <row r="117" spans="1:8" x14ac:dyDescent="0.25">
      <c r="A117" s="146"/>
      <c r="B117" s="146"/>
      <c r="C117" s="146"/>
      <c r="D117" s="147"/>
      <c r="E117" s="145"/>
      <c r="F117" s="142"/>
      <c r="G117" s="142"/>
      <c r="H117" s="138" t="str">
        <f t="shared" si="3"/>
        <v/>
      </c>
    </row>
    <row r="118" spans="1:8" x14ac:dyDescent="0.25">
      <c r="A118" s="146"/>
      <c r="B118" s="146"/>
      <c r="C118" s="146"/>
      <c r="D118" s="147"/>
      <c r="E118" s="145"/>
      <c r="F118" s="142"/>
      <c r="G118" s="142"/>
      <c r="H118" s="138" t="str">
        <f t="shared" si="3"/>
        <v/>
      </c>
    </row>
    <row r="119" spans="1:8" x14ac:dyDescent="0.25">
      <c r="A119" s="146"/>
      <c r="B119" s="146"/>
      <c r="C119" s="146"/>
      <c r="D119" s="147"/>
      <c r="E119" s="145"/>
      <c r="F119" s="142"/>
      <c r="G119" s="142"/>
      <c r="H119" s="138" t="str">
        <f t="shared" si="3"/>
        <v/>
      </c>
    </row>
    <row r="120" spans="1:8" x14ac:dyDescent="0.25">
      <c r="A120" s="146"/>
      <c r="B120" s="146"/>
      <c r="C120" s="146"/>
      <c r="D120" s="147"/>
      <c r="E120" s="145"/>
      <c r="F120" s="142"/>
      <c r="G120" s="142"/>
      <c r="H120" s="138" t="str">
        <f t="shared" si="3"/>
        <v/>
      </c>
    </row>
    <row r="121" spans="1:8" x14ac:dyDescent="0.25">
      <c r="A121" s="146"/>
      <c r="B121" s="146"/>
      <c r="C121" s="146"/>
      <c r="D121" s="147"/>
      <c r="E121" s="145"/>
      <c r="F121" s="142"/>
      <c r="G121" s="142"/>
      <c r="H121" s="138" t="str">
        <f t="shared" si="3"/>
        <v/>
      </c>
    </row>
    <row r="122" spans="1:8" x14ac:dyDescent="0.25">
      <c r="A122" s="146"/>
      <c r="B122" s="146"/>
      <c r="C122" s="146"/>
      <c r="D122" s="147"/>
      <c r="E122" s="145"/>
      <c r="F122" s="142"/>
      <c r="G122" s="142"/>
      <c r="H122" s="138" t="str">
        <f t="shared" si="3"/>
        <v/>
      </c>
    </row>
    <row r="123" spans="1:8" x14ac:dyDescent="0.25">
      <c r="A123" s="146"/>
      <c r="B123" s="146"/>
      <c r="C123" s="146"/>
      <c r="D123" s="147"/>
      <c r="E123" s="145"/>
      <c r="F123" s="142"/>
      <c r="G123" s="142"/>
      <c r="H123" s="138" t="str">
        <f t="shared" si="3"/>
        <v/>
      </c>
    </row>
    <row r="124" spans="1:8" x14ac:dyDescent="0.25">
      <c r="A124" s="146"/>
      <c r="B124" s="146"/>
      <c r="C124" s="146"/>
      <c r="D124" s="147"/>
      <c r="E124" s="145"/>
      <c r="F124" s="142"/>
      <c r="G124" s="142"/>
      <c r="H124" s="138" t="str">
        <f t="shared" si="3"/>
        <v/>
      </c>
    </row>
    <row r="125" spans="1:8" x14ac:dyDescent="0.25">
      <c r="A125" s="148"/>
      <c r="B125" s="146"/>
      <c r="C125" s="146"/>
      <c r="D125" s="147"/>
      <c r="E125" s="145"/>
      <c r="F125" s="142"/>
      <c r="G125" s="142"/>
      <c r="H125" s="138" t="str">
        <f t="shared" si="3"/>
        <v/>
      </c>
    </row>
    <row r="126" spans="1:8" x14ac:dyDescent="0.25">
      <c r="A126" s="148"/>
      <c r="B126" s="146"/>
      <c r="C126" s="146"/>
      <c r="D126" s="147"/>
      <c r="E126" s="145"/>
      <c r="F126" s="142"/>
      <c r="G126" s="142"/>
      <c r="H126" s="138" t="str">
        <f t="shared" si="3"/>
        <v/>
      </c>
    </row>
    <row r="127" spans="1:8" x14ac:dyDescent="0.25">
      <c r="A127" s="148"/>
      <c r="B127" s="146"/>
      <c r="C127" s="146"/>
      <c r="D127" s="147"/>
      <c r="E127" s="145"/>
      <c r="F127" s="142"/>
      <c r="G127" s="142"/>
      <c r="H127" s="138" t="str">
        <f t="shared" si="3"/>
        <v/>
      </c>
    </row>
    <row r="128" spans="1:8" x14ac:dyDescent="0.25">
      <c r="A128" s="148"/>
      <c r="B128" s="146"/>
      <c r="C128" s="146"/>
      <c r="D128" s="147"/>
      <c r="E128" s="145"/>
      <c r="F128" s="142"/>
      <c r="G128" s="142"/>
      <c r="H128" s="138" t="str">
        <f t="shared" si="3"/>
        <v/>
      </c>
    </row>
    <row r="129" spans="1:8" x14ac:dyDescent="0.25">
      <c r="A129" s="148"/>
      <c r="B129" s="146"/>
      <c r="C129" s="146"/>
      <c r="D129" s="147"/>
      <c r="E129" s="145"/>
      <c r="F129" s="142"/>
      <c r="G129" s="142"/>
      <c r="H129" s="138" t="str">
        <f t="shared" si="3"/>
        <v/>
      </c>
    </row>
    <row r="130" spans="1:8" x14ac:dyDescent="0.25">
      <c r="A130" s="148"/>
      <c r="B130" s="146"/>
      <c r="C130" s="146"/>
      <c r="D130" s="147"/>
      <c r="E130" s="145"/>
      <c r="F130" s="142"/>
      <c r="G130" s="142"/>
      <c r="H130" s="138" t="str">
        <f t="shared" si="3"/>
        <v/>
      </c>
    </row>
    <row r="131" spans="1:8" x14ac:dyDescent="0.25">
      <c r="A131" s="148"/>
      <c r="B131" s="146"/>
      <c r="C131" s="146"/>
      <c r="D131" s="147"/>
      <c r="E131" s="145"/>
      <c r="F131" s="142"/>
      <c r="G131" s="142"/>
      <c r="H131" s="138" t="str">
        <f t="shared" si="3"/>
        <v/>
      </c>
    </row>
    <row r="132" spans="1:8" x14ac:dyDescent="0.25">
      <c r="A132" s="148"/>
      <c r="B132" s="146"/>
      <c r="C132" s="146"/>
      <c r="D132" s="147"/>
      <c r="E132" s="145"/>
      <c r="F132" s="142"/>
      <c r="G132" s="142"/>
      <c r="H132" s="138" t="str">
        <f t="shared" si="3"/>
        <v/>
      </c>
    </row>
    <row r="133" spans="1:8" x14ac:dyDescent="0.25">
      <c r="A133" s="148"/>
      <c r="B133" s="146"/>
      <c r="C133" s="146"/>
      <c r="D133" s="147"/>
      <c r="E133" s="145"/>
      <c r="F133" s="142"/>
      <c r="G133" s="142"/>
      <c r="H133" s="138" t="str">
        <f t="shared" si="3"/>
        <v/>
      </c>
    </row>
    <row r="134" spans="1:8" x14ac:dyDescent="0.25">
      <c r="A134" s="148"/>
      <c r="B134" s="146"/>
      <c r="C134" s="146"/>
      <c r="D134" s="147"/>
      <c r="E134" s="145"/>
      <c r="F134" s="142"/>
      <c r="G134" s="142"/>
      <c r="H134" s="138" t="str">
        <f t="shared" si="3"/>
        <v/>
      </c>
    </row>
    <row r="135" spans="1:8" x14ac:dyDescent="0.25">
      <c r="A135" s="148"/>
      <c r="B135" s="146"/>
      <c r="C135" s="146"/>
      <c r="D135" s="147"/>
      <c r="E135" s="145"/>
      <c r="F135" s="142"/>
      <c r="G135" s="142"/>
      <c r="H135" s="138" t="str">
        <f t="shared" si="3"/>
        <v/>
      </c>
    </row>
    <row r="136" spans="1:8" x14ac:dyDescent="0.25">
      <c r="A136" s="148"/>
      <c r="B136" s="146"/>
      <c r="C136" s="146"/>
      <c r="D136" s="147"/>
      <c r="E136" s="145"/>
      <c r="F136" s="142"/>
      <c r="G136" s="142"/>
      <c r="H136" s="138" t="str">
        <f t="shared" si="3"/>
        <v/>
      </c>
    </row>
    <row r="137" spans="1:8" x14ac:dyDescent="0.25">
      <c r="A137" s="148"/>
      <c r="B137" s="146"/>
      <c r="C137" s="146"/>
      <c r="D137" s="147"/>
      <c r="E137" s="145"/>
      <c r="F137" s="142"/>
      <c r="G137" s="142"/>
      <c r="H137" s="138" t="str">
        <f t="shared" si="3"/>
        <v/>
      </c>
    </row>
    <row r="138" spans="1:8" x14ac:dyDescent="0.25">
      <c r="A138" s="148"/>
      <c r="B138" s="146"/>
      <c r="C138" s="146"/>
      <c r="D138" s="147"/>
      <c r="E138" s="145"/>
      <c r="F138" s="142"/>
      <c r="G138" s="142"/>
      <c r="H138" s="138" t="str">
        <f t="shared" si="3"/>
        <v/>
      </c>
    </row>
    <row r="139" spans="1:8" x14ac:dyDescent="0.25">
      <c r="A139" s="148"/>
      <c r="B139" s="146"/>
      <c r="C139" s="146"/>
      <c r="D139" s="147"/>
      <c r="E139" s="145"/>
      <c r="F139" s="142"/>
      <c r="G139" s="142"/>
      <c r="H139" s="138" t="str">
        <f t="shared" si="3"/>
        <v/>
      </c>
    </row>
    <row r="140" spans="1:8" x14ac:dyDescent="0.25">
      <c r="A140" s="148"/>
      <c r="B140" s="146"/>
      <c r="C140" s="146"/>
      <c r="D140" s="147"/>
      <c r="E140" s="145"/>
      <c r="F140" s="142"/>
      <c r="G140" s="142"/>
      <c r="H140" s="138" t="str">
        <f t="shared" si="3"/>
        <v/>
      </c>
    </row>
    <row r="141" spans="1:8" x14ac:dyDescent="0.25">
      <c r="A141" s="148"/>
      <c r="B141" s="146"/>
      <c r="C141" s="146"/>
      <c r="D141" s="147"/>
      <c r="E141" s="145"/>
      <c r="F141" s="142"/>
      <c r="G141" s="142"/>
      <c r="H141" s="138" t="str">
        <f t="shared" si="3"/>
        <v/>
      </c>
    </row>
    <row r="142" spans="1:8" x14ac:dyDescent="0.25">
      <c r="A142" s="148"/>
      <c r="B142" s="146"/>
      <c r="C142" s="146"/>
      <c r="D142" s="147"/>
      <c r="E142" s="145"/>
      <c r="F142" s="142"/>
      <c r="G142" s="142"/>
      <c r="H142" s="138" t="str">
        <f t="shared" si="3"/>
        <v/>
      </c>
    </row>
    <row r="143" spans="1:8" x14ac:dyDescent="0.25">
      <c r="A143" s="148"/>
      <c r="B143" s="146"/>
      <c r="C143" s="146"/>
      <c r="D143" s="147"/>
      <c r="E143" s="145"/>
      <c r="F143" s="142"/>
      <c r="G143" s="142"/>
      <c r="H143" s="138" t="str">
        <f t="shared" si="3"/>
        <v/>
      </c>
    </row>
    <row r="144" spans="1:8" x14ac:dyDescent="0.25">
      <c r="A144" s="148"/>
      <c r="B144" s="146"/>
      <c r="C144" s="146"/>
      <c r="D144" s="147"/>
      <c r="E144" s="145"/>
      <c r="F144" s="142"/>
      <c r="G144" s="142"/>
      <c r="H144" s="138" t="str">
        <f t="shared" si="3"/>
        <v/>
      </c>
    </row>
    <row r="145" spans="1:8" x14ac:dyDescent="0.25">
      <c r="A145" s="148"/>
      <c r="B145" s="146"/>
      <c r="C145" s="146"/>
      <c r="D145" s="147"/>
      <c r="E145" s="145"/>
      <c r="F145" s="142"/>
      <c r="G145" s="142"/>
      <c r="H145" s="138" t="str">
        <f t="shared" si="3"/>
        <v/>
      </c>
    </row>
    <row r="146" spans="1:8" x14ac:dyDescent="0.25">
      <c r="A146" s="148"/>
      <c r="B146" s="146"/>
      <c r="C146" s="146"/>
      <c r="D146" s="147"/>
      <c r="E146" s="145"/>
      <c r="F146" s="142"/>
      <c r="G146" s="142"/>
      <c r="H146" s="138" t="str">
        <f t="shared" si="3"/>
        <v/>
      </c>
    </row>
    <row r="147" spans="1:8" x14ac:dyDescent="0.25">
      <c r="A147" s="144"/>
      <c r="B147" s="143"/>
      <c r="C147" s="143"/>
      <c r="D147" s="138"/>
      <c r="E147" s="145"/>
      <c r="F147" s="142"/>
      <c r="G147" s="142"/>
      <c r="H147" s="138" t="str">
        <f t="shared" ref="H147:H152" si="4">IF(G147="PASS",IF(D147=0,IF(D147="","",C147),""),"")</f>
        <v/>
      </c>
    </row>
    <row r="148" spans="1:8" x14ac:dyDescent="0.25">
      <c r="A148" s="144"/>
      <c r="B148" s="143"/>
      <c r="C148" s="143"/>
      <c r="D148" s="138"/>
      <c r="E148" s="145"/>
      <c r="F148" s="142"/>
      <c r="G148" s="142"/>
      <c r="H148" s="138" t="str">
        <f t="shared" si="4"/>
        <v/>
      </c>
    </row>
    <row r="149" spans="1:8" x14ac:dyDescent="0.25">
      <c r="A149" s="144"/>
      <c r="B149" s="143"/>
      <c r="C149" s="143"/>
      <c r="D149" s="138"/>
      <c r="E149" s="145"/>
      <c r="F149" s="142"/>
      <c r="G149" s="142"/>
      <c r="H149" s="138" t="str">
        <f t="shared" si="4"/>
        <v/>
      </c>
    </row>
    <row r="150" spans="1:8" x14ac:dyDescent="0.25">
      <c r="A150" s="144"/>
      <c r="B150" s="143"/>
      <c r="C150" s="143"/>
      <c r="D150" s="138"/>
      <c r="E150" s="145"/>
      <c r="F150" s="142"/>
      <c r="G150" s="142"/>
      <c r="H150" s="138" t="str">
        <f t="shared" si="4"/>
        <v/>
      </c>
    </row>
    <row r="151" spans="1:8" x14ac:dyDescent="0.25">
      <c r="A151" s="144"/>
      <c r="B151" s="143"/>
      <c r="C151" s="143"/>
      <c r="D151" s="138"/>
      <c r="E151" s="145"/>
      <c r="F151" s="142"/>
      <c r="G151" s="142"/>
      <c r="H151" s="138" t="str">
        <f t="shared" si="4"/>
        <v/>
      </c>
    </row>
    <row r="152" spans="1:8" x14ac:dyDescent="0.25">
      <c r="A152" s="144"/>
      <c r="B152" s="143"/>
      <c r="C152" s="143"/>
      <c r="D152" s="138"/>
      <c r="E152" s="145"/>
      <c r="F152" s="142"/>
      <c r="G152" s="142"/>
      <c r="H152" s="138" t="str">
        <f t="shared" si="4"/>
        <v/>
      </c>
    </row>
    <row r="153" spans="1:8" x14ac:dyDescent="0.25">
      <c r="A153" s="144"/>
      <c r="B153" s="143"/>
      <c r="C153" s="143"/>
      <c r="D153" s="138"/>
      <c r="E153" s="145"/>
      <c r="F153" s="142"/>
      <c r="G153" s="142"/>
      <c r="H153" s="138" t="str">
        <f t="shared" ref="H153:H160" si="5">IF(G153="PASS",IF(D153=0,IF(D153="","",C153),""),"")</f>
        <v/>
      </c>
    </row>
    <row r="154" spans="1:8" x14ac:dyDescent="0.25">
      <c r="A154" s="144"/>
      <c r="B154" s="143"/>
      <c r="C154" s="143"/>
      <c r="D154" s="138"/>
      <c r="E154" s="145"/>
      <c r="F154" s="142"/>
      <c r="G154" s="142"/>
      <c r="H154" s="138" t="str">
        <f t="shared" si="5"/>
        <v/>
      </c>
    </row>
    <row r="155" spans="1:8" x14ac:dyDescent="0.25">
      <c r="A155" s="144"/>
      <c r="B155" s="143"/>
      <c r="C155" s="143"/>
      <c r="D155" s="138"/>
      <c r="E155" s="145"/>
      <c r="F155" s="142"/>
      <c r="G155" s="142"/>
      <c r="H155" s="138" t="str">
        <f t="shared" si="5"/>
        <v/>
      </c>
    </row>
    <row r="156" spans="1:8" x14ac:dyDescent="0.25">
      <c r="A156" s="144"/>
      <c r="B156" s="143"/>
      <c r="C156" s="143"/>
      <c r="D156" s="138"/>
      <c r="E156" s="145"/>
      <c r="F156" s="142"/>
      <c r="G156" s="142"/>
      <c r="H156" s="138" t="str">
        <f t="shared" si="5"/>
        <v/>
      </c>
    </row>
    <row r="157" spans="1:8" x14ac:dyDescent="0.25">
      <c r="B157" s="142"/>
      <c r="C157" s="142"/>
      <c r="D157" s="138"/>
      <c r="E157" s="142"/>
      <c r="F157" s="142"/>
      <c r="G157" s="142"/>
      <c r="H157" s="138" t="str">
        <f t="shared" si="5"/>
        <v/>
      </c>
    </row>
    <row r="158" spans="1:8" x14ac:dyDescent="0.25">
      <c r="B158" s="142"/>
      <c r="C158" s="142"/>
      <c r="D158" s="138"/>
      <c r="E158" s="142"/>
      <c r="F158" s="142"/>
      <c r="G158" s="142"/>
      <c r="H158" s="138" t="str">
        <f t="shared" si="5"/>
        <v/>
      </c>
    </row>
    <row r="159" spans="1:8" x14ac:dyDescent="0.25">
      <c r="A159" s="139"/>
      <c r="B159" s="142"/>
      <c r="C159" s="142"/>
      <c r="D159" s="138"/>
      <c r="E159" s="142"/>
      <c r="F159" s="142"/>
      <c r="G159" s="142"/>
      <c r="H159" s="138" t="str">
        <f t="shared" si="5"/>
        <v/>
      </c>
    </row>
    <row r="160" spans="1:8" x14ac:dyDescent="0.25">
      <c r="D160" s="138"/>
      <c r="F160" s="144"/>
      <c r="H160" s="138" t="str">
        <f t="shared" si="5"/>
        <v/>
      </c>
    </row>
    <row r="161" spans="4:7" x14ac:dyDescent="0.25">
      <c r="D161" s="144"/>
      <c r="E161" s="144"/>
    </row>
    <row r="164" spans="4:7" x14ac:dyDescent="0.25">
      <c r="D164" s="144"/>
      <c r="E164" s="144"/>
      <c r="F164" s="144"/>
      <c r="G164" s="144"/>
    </row>
    <row r="165" spans="4:7" x14ac:dyDescent="0.25">
      <c r="D165" s="144"/>
      <c r="F165" s="144"/>
    </row>
    <row r="166" spans="4:7" x14ac:dyDescent="0.25">
      <c r="G166" s="144"/>
    </row>
  </sheetData>
  <sheetProtection sheet="1" objects="1" scenarios="1"/>
  <mergeCells count="8">
    <mergeCell ref="BC1:BE2"/>
    <mergeCell ref="W2:AI2"/>
    <mergeCell ref="I2:O2"/>
    <mergeCell ref="P2:V2"/>
    <mergeCell ref="A1:H2"/>
    <mergeCell ref="I1:AI1"/>
    <mergeCell ref="AJ1:AQ2"/>
    <mergeCell ref="AR1:BB2"/>
  </mergeCells>
  <dataValidations count="8">
    <dataValidation type="list" allowBlank="1" showInputMessage="1" showErrorMessage="1" sqref="AM4">
      <formula1>$H$4:$H$9</formula1>
    </dataValidation>
    <dataValidation type="list" allowBlank="1" showInputMessage="1" showErrorMessage="1" sqref="AD4">
      <formula1>$O$4:$O$4</formula1>
    </dataValidation>
    <dataValidation type="list" allowBlank="1" showInputMessage="1" showErrorMessage="1" sqref="AS4">
      <formula1>$AL$4:$AL$4</formula1>
    </dataValidation>
    <dataValidation type="list" allowBlank="1" showInputMessage="1" showErrorMessage="1" sqref="A3:F3">
      <formula1>"UNTESTED,FAIL"</formula1>
    </dataValidation>
    <dataValidation type="list" operator="equal" allowBlank="1" showInputMessage="1" showErrorMessage="1" sqref="F92:F124 F65:F90 F45:F46 U1:W4 F11 N10 U27:W1048576 AO4:AQ4 AI4 N4:N8 P5:BE13">
      <formula1>"UNTESTED,FAIL"</formula1>
    </dataValidation>
    <dataValidation type="list" allowBlank="1" showInputMessage="1" showErrorMessage="1" sqref="F38 F91 AI32 F40:F41 F10:G10 N9 F12:G13 N11:N12 F8 G9 G5 F7 F9 F5 G6 F6 G8 G7">
      <formula1>"UNTESTED,FAIL,PASS"</formula1>
    </dataValidation>
    <dataValidation type="list" allowBlank="1" showInputMessage="1" showErrorMessage="1" sqref="AE4">
      <formula1>$V$4:$V$4</formula1>
    </dataValidation>
    <dataValidation type="list" allowBlank="1" showInputMessage="1" showErrorMessage="1" sqref="AN4">
      <formula1>$Y$4:$Y$4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6" r:id="rId4" name="Button 10">
              <controlPr defaultSize="0" print="0" autoFill="0" autoPict="0" macro="[0]!Sheet8.Add_PCBs">
                <anchor moveWithCells="1">
                  <from>
                    <xdr:col>1</xdr:col>
                    <xdr:colOff>222250</xdr:colOff>
                    <xdr:row>0</xdr:row>
                    <xdr:rowOff>260350</xdr:rowOff>
                  </from>
                  <to>
                    <xdr:col>1</xdr:col>
                    <xdr:colOff>1022350</xdr:colOff>
                    <xdr:row>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5" name="Button 22">
              <controlPr defaultSize="0" print="0" autoFill="0" autoPict="0" macro="[0]!Sheet8.Add_Castings">
                <anchor moveWithCells="1" sizeWithCells="1">
                  <from>
                    <xdr:col>8</xdr:col>
                    <xdr:colOff>114300</xdr:colOff>
                    <xdr:row>0</xdr:row>
                    <xdr:rowOff>107950</xdr:rowOff>
                  </from>
                  <to>
                    <xdr:col>9</xdr:col>
                    <xdr:colOff>412750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6" name="Button 37">
              <controlPr defaultSize="0" print="0" autoFill="0" autoPict="0" macro="[0]!Sheet8.Add_Wellglass">
                <anchor moveWithCells="1" sizeWithCells="1">
                  <from>
                    <xdr:col>15</xdr:col>
                    <xdr:colOff>107950</xdr:colOff>
                    <xdr:row>0</xdr:row>
                    <xdr:rowOff>69850</xdr:rowOff>
                  </from>
                  <to>
                    <xdr:col>16</xdr:col>
                    <xdr:colOff>374650</xdr:colOff>
                    <xdr:row>0</xdr:row>
                    <xdr:rowOff>374650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7" name="Button 39">
              <controlPr defaultSize="0" print="0" autoFill="0" autoPict="0" macro="[0]!Sheet8.Add_Preassembly">
                <anchor moveWithCells="1" sizeWithCells="1">
                  <from>
                    <xdr:col>22</xdr:col>
                    <xdr:colOff>266700</xdr:colOff>
                    <xdr:row>0</xdr:row>
                    <xdr:rowOff>107950</xdr:rowOff>
                  </from>
                  <to>
                    <xdr:col>23</xdr:col>
                    <xdr:colOff>679450</xdr:colOff>
                    <xdr:row>0</xdr:row>
                    <xdr:rowOff>374650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8" name="Button 45">
              <controlPr defaultSize="0" print="0" autoFill="0" autoPict="0" macro="[0]!Sheet8.Add_GenericAssembly">
                <anchor moveWithCells="1" sizeWithCells="1">
                  <from>
                    <xdr:col>35</xdr:col>
                    <xdr:colOff>114300</xdr:colOff>
                    <xdr:row>0</xdr:row>
                    <xdr:rowOff>260350</xdr:rowOff>
                  </from>
                  <to>
                    <xdr:col>38</xdr:col>
                    <xdr:colOff>412750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9" name="Button 51">
              <controlPr defaultSize="0" print="0" autoFill="0" autoPict="0" macro="[0]!Sheet8.Add_Destination">
                <anchor moveWithCells="1" sizeWithCells="1">
                  <from>
                    <xdr:col>43</xdr:col>
                    <xdr:colOff>381000</xdr:colOff>
                    <xdr:row>0</xdr:row>
                    <xdr:rowOff>260350</xdr:rowOff>
                  </from>
                  <to>
                    <xdr:col>45</xdr:col>
                    <xdr:colOff>298450</xdr:colOff>
                    <xdr:row>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tableParts count="6">
    <tablePart r:id="rId10"/>
    <tablePart r:id="rId11"/>
    <tablePart r:id="rId12"/>
    <tablePart r:id="rId13"/>
    <tablePart r:id="rId14"/>
    <tablePart r:id="rId15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Automation!#REF!</xm:f>
          </x14:formula1>
          <xm:sqref>AI33:AI39</xm:sqref>
        </x14:dataValidation>
        <x14:dataValidation type="list" allowBlank="1" showInputMessage="1" showErrorMessage="1">
          <x14:formula1>
            <xm:f>Automation!#REF!</xm:f>
          </x14:formula1>
          <xm:sqref>AI27:AI31</xm:sqref>
        </x14:dataValidation>
        <x14:dataValidation type="list" allowBlank="1" showInputMessage="1" showErrorMessage="1">
          <x14:formula1>
            <xm:f>Automation!#REF!</xm:f>
          </x14:formula1>
          <xm:sqref>AV4:AW4</xm:sqref>
        </x14:dataValidation>
        <x14:dataValidation type="list" allowBlank="1" showInputMessage="1" showErrorMessage="1">
          <x14:formula1>
            <xm:f>Automation!#REF!</xm:f>
          </x14:formula1>
          <xm:sqref>AT4</xm:sqref>
        </x14:dataValidation>
        <x14:dataValidation type="list" allowBlank="1" showInputMessage="1" showErrorMessage="1">
          <x14:formula1>
            <xm:f>Automation!#REF!</xm:f>
          </x14:formula1>
          <xm:sqref>AU4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T70"/>
  <sheetViews>
    <sheetView topLeftCell="AA1" zoomScaleNormal="100" workbookViewId="0">
      <selection activeCell="AJ27" sqref="AJ27"/>
    </sheetView>
  </sheetViews>
  <sheetFormatPr defaultColWidth="8.54296875" defaultRowHeight="12.5" x14ac:dyDescent="0.25"/>
  <cols>
    <col min="1" max="1" width="15.54296875" style="218" customWidth="1"/>
    <col min="2" max="2" width="23" style="218" customWidth="1"/>
    <col min="3" max="3" width="20" style="218" customWidth="1"/>
    <col min="4" max="4" width="10.54296875" style="218" customWidth="1"/>
    <col min="5" max="5" width="18.54296875" style="218" customWidth="1"/>
    <col min="6" max="7" width="10.453125" style="218" bestFit="1" customWidth="1"/>
    <col min="8" max="8" width="21.1796875" style="218" customWidth="1"/>
    <col min="9" max="9" width="15.54296875" style="218" hidden="1" customWidth="1"/>
    <col min="10" max="10" width="24" style="218" hidden="1" customWidth="1"/>
    <col min="11" max="11" width="15.453125" style="218" hidden="1" customWidth="1"/>
    <col min="12" max="12" width="8.54296875" style="218" hidden="1" customWidth="1"/>
    <col min="13" max="13" width="10.54296875" style="218" hidden="1" customWidth="1"/>
    <col min="14" max="14" width="24.54296875" style="218" hidden="1" customWidth="1"/>
    <col min="15" max="15" width="10" style="218" hidden="1" customWidth="1"/>
    <col min="16" max="16" width="15.453125" style="218" hidden="1" customWidth="1"/>
    <col min="17" max="19" width="14.54296875" style="218" hidden="1" customWidth="1"/>
    <col min="20" max="21" width="2.36328125" style="218" hidden="1" customWidth="1"/>
    <col min="22" max="22" width="8.54296875" style="218"/>
    <col min="23" max="23" width="12.54296875" style="218" customWidth="1"/>
    <col min="24" max="24" width="10" style="218" customWidth="1"/>
    <col min="25" max="25" width="17.54296875" style="218" bestFit="1" customWidth="1"/>
    <col min="26" max="26" width="11.453125" style="218" customWidth="1"/>
    <col min="27" max="27" width="11.54296875" style="218" customWidth="1"/>
    <col min="28" max="28" width="10.54296875" style="218" customWidth="1"/>
    <col min="29" max="29" width="19.26953125" style="218" customWidth="1"/>
    <col min="30" max="30" width="21.7265625" style="218" customWidth="1"/>
    <col min="31" max="31" width="18.54296875" style="218" customWidth="1"/>
    <col min="32" max="32" width="18.7265625" style="218" customWidth="1"/>
    <col min="33" max="33" width="19.26953125" style="218" customWidth="1"/>
    <col min="34" max="34" width="18.7265625" style="218" customWidth="1"/>
    <col min="35" max="35" width="12.54296875" style="218" customWidth="1"/>
    <col min="36" max="36" width="11.54296875" style="218" customWidth="1"/>
    <col min="37" max="37" width="12.54296875" style="218" customWidth="1"/>
    <col min="38" max="38" width="11.453125" style="218" customWidth="1"/>
    <col min="39" max="40" width="11.54296875" style="218" customWidth="1"/>
    <col min="41" max="41" width="13.453125" style="218" customWidth="1"/>
    <col min="42" max="42" width="15.54296875" style="218" customWidth="1"/>
    <col min="43" max="43" width="25.453125" style="218" customWidth="1"/>
    <col min="44" max="45" width="20.54296875" style="218" customWidth="1"/>
    <col min="46" max="46" width="24.453125" style="218" customWidth="1"/>
    <col min="47" max="16384" width="8.54296875" style="218"/>
  </cols>
  <sheetData>
    <row r="1" spans="1:46" x14ac:dyDescent="0.25">
      <c r="A1" s="352" t="s">
        <v>1678</v>
      </c>
      <c r="B1" s="352"/>
      <c r="C1" s="352"/>
      <c r="D1" s="352"/>
      <c r="E1" s="352"/>
      <c r="F1" s="352"/>
      <c r="G1" s="352"/>
      <c r="H1" s="352"/>
      <c r="I1" s="353" t="s">
        <v>1689</v>
      </c>
      <c r="J1" s="353"/>
      <c r="K1" s="353"/>
      <c r="L1" s="353"/>
      <c r="M1" s="353"/>
      <c r="N1" s="353"/>
      <c r="O1" s="353"/>
      <c r="P1" s="353"/>
      <c r="Q1" s="353"/>
      <c r="R1" s="353"/>
      <c r="S1" s="353"/>
      <c r="T1" s="353"/>
      <c r="U1" s="353"/>
      <c r="V1" s="354" t="s">
        <v>1708</v>
      </c>
      <c r="W1" s="354"/>
      <c r="X1" s="354"/>
      <c r="Y1" s="354"/>
      <c r="Z1" s="354"/>
      <c r="AA1" s="354"/>
      <c r="AB1" s="354"/>
      <c r="AC1" s="354"/>
      <c r="AD1" s="354"/>
      <c r="AE1" s="354"/>
      <c r="AF1" s="354"/>
      <c r="AG1" s="354"/>
      <c r="AH1" s="354"/>
      <c r="AI1" s="355" t="s">
        <v>1695</v>
      </c>
      <c r="AJ1" s="355"/>
      <c r="AK1" s="355"/>
      <c r="AL1" s="355"/>
      <c r="AM1" s="355"/>
      <c r="AN1" s="355"/>
      <c r="AO1" s="355"/>
      <c r="AP1" s="355"/>
      <c r="AQ1" s="355"/>
      <c r="AR1" s="355"/>
      <c r="AS1" s="355"/>
      <c r="AT1" s="355"/>
    </row>
    <row r="2" spans="1:46" x14ac:dyDescent="0.25">
      <c r="A2" s="352"/>
      <c r="B2" s="352"/>
      <c r="C2" s="352"/>
      <c r="D2" s="352"/>
      <c r="E2" s="352"/>
      <c r="F2" s="352"/>
      <c r="G2" s="352"/>
      <c r="H2" s="352"/>
      <c r="I2" s="353"/>
      <c r="J2" s="353"/>
      <c r="K2" s="353"/>
      <c r="L2" s="353"/>
      <c r="M2" s="353"/>
      <c r="N2" s="353"/>
      <c r="O2" s="353"/>
      <c r="P2" s="353"/>
      <c r="Q2" s="353"/>
      <c r="R2" s="353"/>
      <c r="S2" s="353"/>
      <c r="T2" s="353"/>
      <c r="U2" s="353"/>
      <c r="V2" s="354"/>
      <c r="W2" s="354"/>
      <c r="X2" s="354"/>
      <c r="Y2" s="354"/>
      <c r="Z2" s="354"/>
      <c r="AA2" s="354"/>
      <c r="AB2" s="354"/>
      <c r="AC2" s="354"/>
      <c r="AD2" s="354"/>
      <c r="AE2" s="354"/>
      <c r="AF2" s="354"/>
      <c r="AG2" s="354"/>
      <c r="AH2" s="354"/>
      <c r="AI2" s="355"/>
      <c r="AJ2" s="355"/>
      <c r="AK2" s="355"/>
      <c r="AL2" s="355"/>
      <c r="AM2" s="355"/>
      <c r="AN2" s="355"/>
      <c r="AO2" s="355"/>
      <c r="AP2" s="355"/>
      <c r="AQ2" s="355"/>
      <c r="AR2" s="355"/>
      <c r="AS2" s="355"/>
      <c r="AT2" s="355"/>
    </row>
    <row r="3" spans="1:46" ht="33" customHeight="1" x14ac:dyDescent="0.25">
      <c r="A3" s="250" t="s">
        <v>692</v>
      </c>
      <c r="B3" s="250" t="s">
        <v>1707</v>
      </c>
      <c r="C3" s="250" t="s">
        <v>2</v>
      </c>
      <c r="D3" s="250" t="s">
        <v>1637</v>
      </c>
      <c r="E3" s="250" t="s">
        <v>1613</v>
      </c>
      <c r="F3" s="251" t="s">
        <v>1679</v>
      </c>
      <c r="G3" s="251" t="s">
        <v>1680</v>
      </c>
      <c r="H3" s="251" t="s">
        <v>1644</v>
      </c>
      <c r="I3" s="252" t="s">
        <v>692</v>
      </c>
      <c r="J3" s="253" t="s">
        <v>693</v>
      </c>
      <c r="K3" s="252" t="s">
        <v>1681</v>
      </c>
      <c r="L3" s="252" t="s">
        <v>1652</v>
      </c>
      <c r="M3" s="252" t="s">
        <v>1637</v>
      </c>
      <c r="N3" s="253" t="s">
        <v>1613</v>
      </c>
      <c r="O3" s="254" t="s">
        <v>1682</v>
      </c>
      <c r="P3" s="254" t="s">
        <v>1683</v>
      </c>
      <c r="Q3" s="254" t="s">
        <v>1684</v>
      </c>
      <c r="R3" s="254" t="s">
        <v>1685</v>
      </c>
      <c r="S3" s="254" t="s">
        <v>1686</v>
      </c>
      <c r="T3" s="254" t="s">
        <v>1687</v>
      </c>
      <c r="U3" s="254" t="s">
        <v>1688</v>
      </c>
      <c r="V3" s="255" t="s">
        <v>1657</v>
      </c>
      <c r="W3" s="220" t="s">
        <v>1696</v>
      </c>
      <c r="X3" s="255" t="s">
        <v>1652</v>
      </c>
      <c r="Y3" s="255" t="s">
        <v>1690</v>
      </c>
      <c r="Z3" s="255" t="s">
        <v>1691</v>
      </c>
      <c r="AA3" s="220" t="s">
        <v>1682</v>
      </c>
      <c r="AB3" s="220" t="s">
        <v>1637</v>
      </c>
      <c r="AC3" s="220" t="s">
        <v>1698</v>
      </c>
      <c r="AD3" s="220" t="s">
        <v>1684</v>
      </c>
      <c r="AE3" s="220" t="s">
        <v>1685</v>
      </c>
      <c r="AF3" s="220" t="s">
        <v>1686</v>
      </c>
      <c r="AG3" s="220" t="s">
        <v>1687</v>
      </c>
      <c r="AH3" s="220" t="s">
        <v>1688</v>
      </c>
      <c r="AI3" s="227" t="s">
        <v>1706</v>
      </c>
      <c r="AJ3" s="227" t="s">
        <v>1697</v>
      </c>
      <c r="AK3" s="228" t="s">
        <v>1652</v>
      </c>
      <c r="AL3" s="228" t="s">
        <v>1692</v>
      </c>
      <c r="AM3" s="228" t="s">
        <v>1693</v>
      </c>
      <c r="AN3" s="228" t="s">
        <v>1694</v>
      </c>
      <c r="AO3" s="228" t="s">
        <v>1622</v>
      </c>
      <c r="AP3" s="229" t="s">
        <v>5</v>
      </c>
      <c r="AQ3" s="229" t="s">
        <v>1615</v>
      </c>
      <c r="AR3" s="229" t="s">
        <v>194</v>
      </c>
      <c r="AS3" s="229" t="s">
        <v>195</v>
      </c>
      <c r="AT3" s="229" t="s">
        <v>6</v>
      </c>
    </row>
    <row r="4" spans="1:46" ht="37.5" x14ac:dyDescent="0.25">
      <c r="A4" s="185"/>
      <c r="B4" s="185"/>
      <c r="C4" s="185"/>
      <c r="D4" s="185">
        <f>IF(COUNTIFS(VAP01_Assembly[VAP100B SN],VAP100B[[#This Row],[Sub-contractor Serial Number]])=1,IF(AND(VAP100B[[#This Row],[QAI0010]]="PASS",VAP100B[[#This Row],[TP0041]]="PASS"),1,0),0)</f>
        <v>0</v>
      </c>
      <c r="E4" s="183"/>
      <c r="F4" s="183"/>
      <c r="G4" s="183"/>
      <c r="H4" s="185" t="str">
        <f>IF(AND(VAP100B[[#This Row],[QAI0010]]="PASS",VAP100B[[#This Row],[TP0041]]="PASS",VAP100B[[#This Row],[Assigned]]=0),VAP100B[[#This Row],[Sub-contractor Serial Number]],"")</f>
        <v/>
      </c>
      <c r="V4" s="185"/>
      <c r="W4" s="185"/>
      <c r="X4" s="185"/>
      <c r="Y4" s="183"/>
      <c r="Z4" s="183"/>
      <c r="AA4" s="183"/>
      <c r="AB4" s="185">
        <f>IF(AND(COUNTIF(VAP01_Destination[VAP01 ID], VAP01_Assembly[[#This Row],[ID]])=1,VAP01_Assembly[[#This Row],[TP0016]]="PASS",VAP01_Assembly[[#This Row],[QAI0011]]="PASS"),1,0)</f>
        <v>0</v>
      </c>
      <c r="AC4" s="185" t="str">
        <f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D4" s="185" t="str">
        <f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E4" s="185" t="str">
        <f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F4" s="185" t="str">
        <f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G4" s="185" t="str">
        <f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H4" s="185" t="str">
        <f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I4" s="224">
        <v>0</v>
      </c>
      <c r="AJ4" s="224"/>
      <c r="AK4" s="225"/>
      <c r="AL4" s="225"/>
      <c r="AM4" s="225"/>
      <c r="AN4" s="225"/>
      <c r="AO4" s="225"/>
      <c r="AP4" s="239"/>
      <c r="AQ4" s="226"/>
      <c r="AR4" s="226"/>
      <c r="AS4" s="226"/>
      <c r="AT4" s="224" t="s">
        <v>1809</v>
      </c>
    </row>
    <row r="5" spans="1:46" ht="37.5" x14ac:dyDescent="0.25">
      <c r="A5" s="256">
        <v>43818</v>
      </c>
      <c r="B5" s="249">
        <v>109281</v>
      </c>
      <c r="C5" s="249" t="s">
        <v>1794</v>
      </c>
      <c r="D5" s="249">
        <f>IF(COUNTIFS(VAP01_Assembly[VAP100B SN],VAP100B[[#This Row],[Sub-contractor Serial Number]])=1,IF(AND(VAP100B[[#This Row],[QAI0010]]="PASS",VAP100B[[#This Row],[TP0041]]="PASS"),1,0),0)</f>
        <v>1</v>
      </c>
      <c r="E5" s="248">
        <v>44124</v>
      </c>
      <c r="F5" s="249" t="s">
        <v>1641</v>
      </c>
      <c r="G5" s="249" t="s">
        <v>1641</v>
      </c>
      <c r="H5" s="257" t="str">
        <f>IF(AND(VAP100B[[#This Row],[QAI0010]]="PASS",VAP100B[[#This Row],[TP0041]]="PASS",VAP100B[[#This Row],[Assigned]]=0),VAP100B[[#This Row],[Sub-contractor Serial Number]],"")</f>
        <v/>
      </c>
      <c r="V5" s="249" t="s">
        <v>1805</v>
      </c>
      <c r="W5" s="256">
        <v>44130</v>
      </c>
      <c r="X5" s="249" t="s">
        <v>623</v>
      </c>
      <c r="Y5" s="249" t="s">
        <v>1794</v>
      </c>
      <c r="Z5" s="249" t="s">
        <v>1641</v>
      </c>
      <c r="AA5" s="249" t="s">
        <v>1641</v>
      </c>
      <c r="AB5" s="257">
        <f>IF(AND(COUNTIF(VAP01_Destination[VAP01 ID], VAP01_Assembly[[#This Row],[ID]])=1,VAP01_Assembly[[#This Row],[TP0016]]="PASS",VAP01_Assembly[[#This Row],[QAI0011]]="PASS"),1,0)</f>
        <v>1</v>
      </c>
      <c r="AC5" s="257" t="str">
        <f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D5" s="257" t="str">
        <f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E5" s="257" t="str">
        <f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F5" s="257" t="str">
        <f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G5" s="257" t="str">
        <f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H5" s="257" t="str">
        <f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I5" s="224">
        <v>1</v>
      </c>
      <c r="AJ5" s="224" t="s">
        <v>1805</v>
      </c>
      <c r="AK5" s="225" t="s">
        <v>623</v>
      </c>
      <c r="AL5" s="224" t="s">
        <v>1842</v>
      </c>
      <c r="AM5" s="225" t="s">
        <v>1834</v>
      </c>
      <c r="AN5" s="225" t="s">
        <v>1835</v>
      </c>
      <c r="AO5" s="225"/>
      <c r="AP5" s="239">
        <v>44131</v>
      </c>
      <c r="AQ5" s="224" t="s">
        <v>1836</v>
      </c>
      <c r="AR5" s="226"/>
      <c r="AS5" s="226"/>
      <c r="AT5" s="224" t="s">
        <v>1809</v>
      </c>
    </row>
    <row r="6" spans="1:46" ht="25" x14ac:dyDescent="0.25">
      <c r="A6" s="256">
        <v>43818</v>
      </c>
      <c r="B6" s="249">
        <v>109281</v>
      </c>
      <c r="C6" s="249" t="s">
        <v>1804</v>
      </c>
      <c r="D6" s="249">
        <f>IF(COUNTIFS(VAP01_Assembly[VAP100B SN],VAP100B[[#This Row],[Sub-contractor Serial Number]])=1,IF(AND(VAP100B[[#This Row],[QAI0010]]="PASS",VAP100B[[#This Row],[TP0041]]="PASS"),1,0),0)</f>
        <v>1</v>
      </c>
      <c r="E6" s="248">
        <v>44126</v>
      </c>
      <c r="F6" s="249" t="s">
        <v>1641</v>
      </c>
      <c r="G6" s="249" t="s">
        <v>1641</v>
      </c>
      <c r="H6" s="257" t="str">
        <f>IF(AND(VAP100B[[#This Row],[QAI0010]]="PASS",VAP100B[[#This Row],[TP0041]]="PASS",VAP100B[[#This Row],[Assigned]]=0),VAP100B[[#This Row],[Sub-contractor Serial Number]],"")</f>
        <v/>
      </c>
      <c r="V6" s="249" t="s">
        <v>1813</v>
      </c>
      <c r="W6" s="256">
        <v>44134</v>
      </c>
      <c r="X6" s="249" t="s">
        <v>51</v>
      </c>
      <c r="Y6" s="249" t="s">
        <v>1804</v>
      </c>
      <c r="Z6" s="249" t="s">
        <v>1641</v>
      </c>
      <c r="AA6" s="249" t="s">
        <v>1641</v>
      </c>
      <c r="AB6" s="257">
        <f>IF(AND(COUNTIF(VAP01_Destination[VAP01 ID], VAP01_Assembly[[#This Row],[ID]])=1,VAP01_Assembly[[#This Row],[TP0016]]="PASS",VAP01_Assembly[[#This Row],[QAI0011]]="PASS"),1,0)</f>
        <v>1</v>
      </c>
      <c r="AC6" s="257" t="str">
        <f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D6" s="257" t="str">
        <f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E6" s="257" t="str">
        <f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F6" s="257" t="str">
        <f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G6" s="257" t="str">
        <f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H6" s="257" t="str">
        <f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I6" s="224">
        <v>2</v>
      </c>
      <c r="AJ6" s="224" t="s">
        <v>1813</v>
      </c>
      <c r="AK6" s="225" t="s">
        <v>51</v>
      </c>
      <c r="AL6" s="224" t="s">
        <v>1844</v>
      </c>
      <c r="AM6" s="225" t="s">
        <v>1845</v>
      </c>
      <c r="AN6" s="225" t="s">
        <v>1846</v>
      </c>
      <c r="AO6" s="225" t="s">
        <v>1847</v>
      </c>
      <c r="AP6" s="239">
        <v>44138</v>
      </c>
      <c r="AQ6" s="224" t="s">
        <v>1848</v>
      </c>
      <c r="AR6" s="226"/>
      <c r="AS6" s="226"/>
      <c r="AT6" s="224" t="s">
        <v>1850</v>
      </c>
    </row>
    <row r="7" spans="1:46" x14ac:dyDescent="0.25">
      <c r="A7"/>
      <c r="B7"/>
      <c r="C7"/>
      <c r="D7"/>
      <c r="E7"/>
      <c r="F7"/>
      <c r="G7"/>
      <c r="H7"/>
      <c r="V7"/>
      <c r="W7"/>
      <c r="X7"/>
      <c r="Y7"/>
      <c r="Z7"/>
      <c r="AA7"/>
      <c r="AB7"/>
      <c r="AC7"/>
      <c r="AD7"/>
      <c r="AE7"/>
      <c r="AF7"/>
      <c r="AG7"/>
      <c r="AH7"/>
    </row>
    <row r="8" spans="1:46" x14ac:dyDescent="0.25">
      <c r="A8"/>
      <c r="B8"/>
      <c r="C8"/>
      <c r="D8"/>
      <c r="E8"/>
      <c r="F8"/>
      <c r="G8"/>
      <c r="H8"/>
      <c r="V8"/>
      <c r="W8"/>
      <c r="X8"/>
      <c r="Y8"/>
      <c r="Z8"/>
      <c r="AA8"/>
      <c r="AB8"/>
      <c r="AC8"/>
      <c r="AD8"/>
      <c r="AE8"/>
      <c r="AF8"/>
      <c r="AG8"/>
      <c r="AH8"/>
    </row>
    <row r="9" spans="1:46" x14ac:dyDescent="0.25">
      <c r="A9"/>
      <c r="B9"/>
      <c r="C9"/>
      <c r="D9"/>
      <c r="E9"/>
      <c r="F9"/>
      <c r="G9"/>
      <c r="H9"/>
      <c r="V9"/>
      <c r="W9"/>
      <c r="X9"/>
      <c r="Y9"/>
      <c r="Z9"/>
      <c r="AA9"/>
      <c r="AB9"/>
      <c r="AC9"/>
      <c r="AD9"/>
      <c r="AE9"/>
      <c r="AF9"/>
      <c r="AG9"/>
      <c r="AH9"/>
    </row>
    <row r="10" spans="1:46" x14ac:dyDescent="0.25">
      <c r="A10"/>
      <c r="B10"/>
      <c r="C10"/>
      <c r="D10"/>
      <c r="E10"/>
      <c r="F10"/>
      <c r="G10"/>
      <c r="H10"/>
      <c r="V10"/>
      <c r="W10"/>
      <c r="X10"/>
      <c r="Y10"/>
      <c r="Z10"/>
      <c r="AA10"/>
      <c r="AB10"/>
      <c r="AC10"/>
      <c r="AD10"/>
      <c r="AE10"/>
      <c r="AF10"/>
      <c r="AG10"/>
      <c r="AH10"/>
    </row>
    <row r="11" spans="1:46" x14ac:dyDescent="0.25">
      <c r="A11"/>
      <c r="B11"/>
      <c r="C11"/>
      <c r="D11"/>
      <c r="E11"/>
      <c r="F11"/>
      <c r="G11"/>
      <c r="H11"/>
      <c r="V11"/>
      <c r="W11"/>
      <c r="X11"/>
      <c r="Y11"/>
      <c r="Z11"/>
      <c r="AA11"/>
      <c r="AB11"/>
      <c r="AC11"/>
      <c r="AD11"/>
      <c r="AE11"/>
      <c r="AF11"/>
      <c r="AG11"/>
      <c r="AH11"/>
    </row>
    <row r="12" spans="1:46" x14ac:dyDescent="0.25">
      <c r="A12"/>
      <c r="B12"/>
      <c r="C12"/>
      <c r="D12"/>
      <c r="E12"/>
      <c r="F12"/>
      <c r="G12"/>
      <c r="H12"/>
      <c r="V12"/>
      <c r="W12"/>
      <c r="X12"/>
      <c r="Y12"/>
      <c r="Z12"/>
      <c r="AA12"/>
      <c r="AB12"/>
      <c r="AC12"/>
      <c r="AD12"/>
      <c r="AE12"/>
      <c r="AF12"/>
      <c r="AG12"/>
      <c r="AH12"/>
    </row>
    <row r="13" spans="1:46" x14ac:dyDescent="0.25">
      <c r="A13"/>
      <c r="B13"/>
      <c r="C13"/>
      <c r="D13"/>
      <c r="E13"/>
      <c r="F13"/>
      <c r="G13"/>
      <c r="H13"/>
      <c r="V13"/>
      <c r="W13"/>
      <c r="X13"/>
      <c r="Y13"/>
      <c r="Z13"/>
      <c r="AA13"/>
      <c r="AB13"/>
      <c r="AC13"/>
      <c r="AD13"/>
      <c r="AE13"/>
      <c r="AF13"/>
      <c r="AG13"/>
      <c r="AH13"/>
    </row>
    <row r="14" spans="1:46" x14ac:dyDescent="0.25">
      <c r="A14"/>
      <c r="B14"/>
      <c r="C14"/>
      <c r="D14"/>
      <c r="E14"/>
      <c r="F14"/>
      <c r="G14"/>
      <c r="H14"/>
      <c r="V14"/>
      <c r="W14"/>
      <c r="X14"/>
      <c r="Y14"/>
      <c r="Z14"/>
      <c r="AA14"/>
      <c r="AB14"/>
      <c r="AC14"/>
      <c r="AD14"/>
      <c r="AE14"/>
      <c r="AF14"/>
      <c r="AG14"/>
      <c r="AH14"/>
    </row>
    <row r="15" spans="1:46" x14ac:dyDescent="0.25">
      <c r="A15"/>
      <c r="B15"/>
      <c r="C15"/>
      <c r="D15"/>
      <c r="E15"/>
      <c r="F15"/>
      <c r="G15"/>
      <c r="H15"/>
      <c r="V15"/>
      <c r="W15"/>
      <c r="X15"/>
      <c r="Y15"/>
      <c r="Z15"/>
      <c r="AA15"/>
      <c r="AB15"/>
      <c r="AC15"/>
      <c r="AD15"/>
      <c r="AE15"/>
      <c r="AF15"/>
      <c r="AG15"/>
      <c r="AH15"/>
    </row>
    <row r="16" spans="1:46" x14ac:dyDescent="0.25">
      <c r="A16"/>
      <c r="B16"/>
      <c r="C16"/>
      <c r="D16"/>
      <c r="E16"/>
      <c r="F16"/>
      <c r="G16"/>
      <c r="H16"/>
      <c r="V16"/>
      <c r="W16"/>
      <c r="X16"/>
      <c r="Y16"/>
      <c r="Z16"/>
      <c r="AA16"/>
      <c r="AB16"/>
      <c r="AC16"/>
      <c r="AD16"/>
      <c r="AE16"/>
      <c r="AF16"/>
      <c r="AG16"/>
      <c r="AH16"/>
    </row>
    <row r="17" spans="22:34" x14ac:dyDescent="0.25">
      <c r="V17"/>
      <c r="W17"/>
      <c r="X17"/>
      <c r="Y17"/>
      <c r="Z17"/>
      <c r="AA17"/>
      <c r="AB17"/>
      <c r="AC17"/>
      <c r="AD17"/>
      <c r="AE17"/>
      <c r="AF17"/>
      <c r="AG17"/>
      <c r="AH17"/>
    </row>
    <row r="18" spans="22:34" x14ac:dyDescent="0.25">
      <c r="V18"/>
      <c r="W18"/>
      <c r="X18"/>
      <c r="Y18"/>
      <c r="Z18"/>
      <c r="AA18"/>
      <c r="AB18"/>
      <c r="AC18"/>
      <c r="AD18"/>
      <c r="AE18"/>
      <c r="AF18"/>
      <c r="AG18"/>
      <c r="AH18"/>
    </row>
    <row r="19" spans="22:34" x14ac:dyDescent="0.25">
      <c r="V19"/>
      <c r="W19"/>
      <c r="X19"/>
      <c r="Y19"/>
      <c r="Z19"/>
      <c r="AA19"/>
      <c r="AB19"/>
      <c r="AC19"/>
      <c r="AD19"/>
      <c r="AE19"/>
      <c r="AF19"/>
      <c r="AG19"/>
      <c r="AH19"/>
    </row>
    <row r="64" spans="1:8" x14ac:dyDescent="0.25">
      <c r="A64" s="258"/>
      <c r="B64" s="258"/>
      <c r="C64" s="170"/>
      <c r="D64" s="170"/>
      <c r="E64" s="170"/>
      <c r="F64" s="170"/>
      <c r="G64" s="170"/>
      <c r="H64" s="196"/>
    </row>
    <row r="65" spans="1:25" x14ac:dyDescent="0.25">
      <c r="A65" s="170"/>
      <c r="B65" s="170"/>
      <c r="C65" s="170"/>
      <c r="D65" s="170"/>
      <c r="E65" s="170"/>
      <c r="F65" s="170"/>
      <c r="G65" s="170"/>
      <c r="H65" s="170"/>
    </row>
    <row r="66" spans="1:25" x14ac:dyDescent="0.25">
      <c r="A66" s="170"/>
      <c r="B66" s="170"/>
      <c r="C66" s="170"/>
      <c r="D66" s="170"/>
      <c r="E66" s="170"/>
      <c r="F66" s="170"/>
      <c r="G66" s="170"/>
      <c r="H66" s="170"/>
      <c r="V66" s="170"/>
      <c r="W66" s="170"/>
      <c r="X66" s="170"/>
      <c r="Y66" s="146"/>
    </row>
    <row r="67" spans="1:25" x14ac:dyDescent="0.25">
      <c r="A67" s="170"/>
      <c r="B67" s="170"/>
      <c r="C67" s="170"/>
      <c r="D67" s="170"/>
      <c r="E67" s="170"/>
      <c r="F67" s="170"/>
      <c r="G67" s="170"/>
      <c r="H67" s="170"/>
      <c r="V67" s="170"/>
      <c r="W67" s="170"/>
      <c r="X67" s="170"/>
      <c r="Y67" s="146"/>
    </row>
    <row r="68" spans="1:25" x14ac:dyDescent="0.25">
      <c r="A68" s="170"/>
      <c r="B68" s="170"/>
      <c r="C68" s="170"/>
      <c r="D68" s="170"/>
      <c r="E68" s="170"/>
      <c r="F68" s="170"/>
      <c r="G68" s="170"/>
      <c r="H68" s="170"/>
      <c r="V68" s="170"/>
      <c r="W68" s="170"/>
      <c r="X68" s="170"/>
      <c r="Y68" s="146"/>
    </row>
    <row r="69" spans="1:25" x14ac:dyDescent="0.25">
      <c r="V69" s="170"/>
      <c r="W69" s="170"/>
      <c r="X69" s="170"/>
    </row>
    <row r="70" spans="1:25" x14ac:dyDescent="0.25">
      <c r="V70" s="170"/>
      <c r="W70" s="170"/>
      <c r="X70" s="170"/>
    </row>
  </sheetData>
  <sheetProtection sheet="1" objects="1" scenarios="1"/>
  <mergeCells count="4">
    <mergeCell ref="A1:H2"/>
    <mergeCell ref="I1:U2"/>
    <mergeCell ref="V1:AH2"/>
    <mergeCell ref="AI1:AT2"/>
  </mergeCells>
  <dataValidations count="3">
    <dataValidation type="list" allowBlank="1" showInputMessage="1" showErrorMessage="1" sqref="G6">
      <formula1>"UNTESTED,FAIL,PASS"</formula1>
    </dataValidation>
    <dataValidation operator="equal" allowBlank="1" showInputMessage="1" showErrorMessage="1" sqref="G1:G5 A17:H1048576 H1:H6 A1:F6 I1:U1048576 V20:AH1048576 AJ7:AJ1048576 AK7:AT1048576 AJ1:AJ4 V1:AA4 AB1:AH6 AU1:XFD1048576 AK1:AT4 AI1:AI4 AI7:AI1048576"/>
    <dataValidation type="list" operator="equal" allowBlank="1" showInputMessage="1" showErrorMessage="1" sqref="Z5:AA6">
      <formula1>"UNTESTED,FAIL"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Sheet11.Add_VAP100B_PCB">
                <anchor moveWithCells="1" sizeWithCells="1">
                  <from>
                    <xdr:col>0</xdr:col>
                    <xdr:colOff>527050</xdr:colOff>
                    <xdr:row>0</xdr:row>
                    <xdr:rowOff>107950</xdr:rowOff>
                  </from>
                  <to>
                    <xdr:col>1</xdr:col>
                    <xdr:colOff>869950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Sheet11.Add_VAP01_Assembly">
                <anchor moveWithCells="1" sizeWithCells="1">
                  <from>
                    <xdr:col>21</xdr:col>
                    <xdr:colOff>412750</xdr:colOff>
                    <xdr:row>0</xdr:row>
                    <xdr:rowOff>107950</xdr:rowOff>
                  </from>
                  <to>
                    <xdr:col>23</xdr:col>
                    <xdr:colOff>374650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Sheet11.Add_Destination">
                <anchor moveWithCells="1" sizeWithCells="1">
                  <from>
                    <xdr:col>34</xdr:col>
                    <xdr:colOff>228600</xdr:colOff>
                    <xdr:row>0</xdr:row>
                    <xdr:rowOff>107950</xdr:rowOff>
                  </from>
                  <to>
                    <xdr:col>37</xdr:col>
                    <xdr:colOff>146050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7" name="Button 6">
              <controlPr defaultSize="0" print="0" autoFill="0" autoPict="0" macro="[0]!Sheet11.UnlockFailure">
                <anchor moveWithCells="1" sizeWithCells="1">
                  <from>
                    <xdr:col>31</xdr:col>
                    <xdr:colOff>31750</xdr:colOff>
                    <xdr:row>0</xdr:row>
                    <xdr:rowOff>76200</xdr:rowOff>
                  </from>
                  <to>
                    <xdr:col>32</xdr:col>
                    <xdr:colOff>0</xdr:colOff>
                    <xdr:row>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tableParts count="4"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L108"/>
  <sheetViews>
    <sheetView tabSelected="1" zoomScale="85" zoomScaleNormal="85" workbookViewId="0">
      <selection activeCell="E5" sqref="E5"/>
    </sheetView>
  </sheetViews>
  <sheetFormatPr defaultRowHeight="12.5" x14ac:dyDescent="0.25"/>
  <cols>
    <col min="2" max="2" width="10.453125" bestFit="1" customWidth="1"/>
    <col min="3" max="3" width="11.26953125" bestFit="1" customWidth="1"/>
    <col min="4" max="4" width="10.7265625" bestFit="1" customWidth="1"/>
    <col min="5" max="5" width="81.26953125" customWidth="1"/>
    <col min="6" max="6" width="11.7265625" customWidth="1"/>
    <col min="7" max="7" width="8.453125" bestFit="1" customWidth="1"/>
    <col min="8" max="8" width="9.453125" bestFit="1" customWidth="1"/>
    <col min="9" max="9" width="10.26953125" bestFit="1" customWidth="1"/>
    <col min="10" max="10" width="77.26953125" customWidth="1"/>
    <col min="11" max="11" width="11.54296875" style="222" customWidth="1"/>
    <col min="12" max="12" width="13.54296875" customWidth="1"/>
  </cols>
  <sheetData>
    <row r="2" spans="1:11" x14ac:dyDescent="0.25">
      <c r="E2" s="144" t="s">
        <v>1674</v>
      </c>
    </row>
    <row r="3" spans="1:11" x14ac:dyDescent="0.25">
      <c r="D3" s="144" t="s">
        <v>1675</v>
      </c>
      <c r="E3" s="144" t="s">
        <v>1854</v>
      </c>
    </row>
    <row r="4" spans="1:11" x14ac:dyDescent="0.25">
      <c r="D4" s="144" t="s">
        <v>1676</v>
      </c>
      <c r="E4" s="144" t="s">
        <v>1855</v>
      </c>
    </row>
    <row r="5" spans="1:11" x14ac:dyDescent="0.25">
      <c r="D5" s="144" t="s">
        <v>1677</v>
      </c>
      <c r="E5" s="144" t="s">
        <v>1856</v>
      </c>
    </row>
    <row r="6" spans="1:11" x14ac:dyDescent="0.25">
      <c r="C6" s="144"/>
      <c r="D6" s="144"/>
    </row>
    <row r="7" spans="1:11" x14ac:dyDescent="0.25">
      <c r="C7" s="144"/>
      <c r="D7" s="144"/>
    </row>
    <row r="8" spans="1:11" x14ac:dyDescent="0.25">
      <c r="H8" s="144"/>
    </row>
    <row r="10" spans="1:11" x14ac:dyDescent="0.25">
      <c r="A10" s="121" t="s">
        <v>1814</v>
      </c>
      <c r="E10" s="55"/>
      <c r="K10"/>
    </row>
    <row r="11" spans="1:11" x14ac:dyDescent="0.25">
      <c r="A11" s="137" t="s">
        <v>1815</v>
      </c>
      <c r="E11" s="55"/>
      <c r="K11"/>
    </row>
    <row r="12" spans="1:11" x14ac:dyDescent="0.25">
      <c r="A12" s="219" t="s">
        <v>1743</v>
      </c>
      <c r="E12" s="55"/>
      <c r="K12"/>
    </row>
    <row r="13" spans="1:11" x14ac:dyDescent="0.25">
      <c r="E13" s="55"/>
      <c r="K13"/>
    </row>
    <row r="14" spans="1:11" x14ac:dyDescent="0.25">
      <c r="E14" s="55"/>
      <c r="K14"/>
    </row>
    <row r="15" spans="1:11" ht="13" thickBot="1" x14ac:dyDescent="0.3">
      <c r="E15" s="55"/>
      <c r="K15"/>
    </row>
    <row r="16" spans="1:11" ht="30" thickTop="1" thickBot="1" x14ac:dyDescent="0.4">
      <c r="A16" s="270" t="s">
        <v>1816</v>
      </c>
      <c r="B16" s="270" t="s">
        <v>1654</v>
      </c>
      <c r="C16" s="270" t="s">
        <v>1817</v>
      </c>
      <c r="D16" s="270" t="s">
        <v>1818</v>
      </c>
      <c r="E16" s="271" t="s">
        <v>1819</v>
      </c>
      <c r="F16" s="270" t="s">
        <v>1820</v>
      </c>
      <c r="G16" s="270" t="s">
        <v>1821</v>
      </c>
      <c r="H16" s="270" t="s">
        <v>1822</v>
      </c>
      <c r="I16" s="272" t="s">
        <v>1823</v>
      </c>
      <c r="J16" s="273" t="s">
        <v>1710</v>
      </c>
      <c r="K16"/>
    </row>
    <row r="17" spans="1:11" ht="13.5" thickTop="1" thickBot="1" x14ac:dyDescent="0.3">
      <c r="A17" s="274">
        <v>1</v>
      </c>
      <c r="B17" s="275">
        <v>44060</v>
      </c>
      <c r="C17" s="276" t="s">
        <v>1722</v>
      </c>
      <c r="D17" s="276" t="s">
        <v>1824</v>
      </c>
      <c r="E17" s="277" t="s">
        <v>1709</v>
      </c>
      <c r="F17" s="276" t="s">
        <v>1825</v>
      </c>
      <c r="G17" s="276" t="s">
        <v>1815</v>
      </c>
      <c r="H17" s="276"/>
      <c r="I17" s="275">
        <v>44061</v>
      </c>
      <c r="J17" s="275" t="s">
        <v>1717</v>
      </c>
      <c r="K17"/>
    </row>
    <row r="18" spans="1:11" ht="13.5" thickTop="1" thickBot="1" x14ac:dyDescent="0.3">
      <c r="A18" s="274">
        <v>2</v>
      </c>
      <c r="B18" s="275">
        <v>44060</v>
      </c>
      <c r="C18" s="276" t="s">
        <v>1722</v>
      </c>
      <c r="D18" s="276" t="s">
        <v>1824</v>
      </c>
      <c r="E18" s="277" t="s">
        <v>1826</v>
      </c>
      <c r="F18" s="276" t="s">
        <v>1825</v>
      </c>
      <c r="G18" s="276" t="s">
        <v>1814</v>
      </c>
      <c r="H18" s="276" t="s">
        <v>1724</v>
      </c>
      <c r="I18" s="275">
        <v>44061</v>
      </c>
      <c r="J18" s="275" t="s">
        <v>1711</v>
      </c>
      <c r="K18"/>
    </row>
    <row r="19" spans="1:11" ht="13.5" thickTop="1" thickBot="1" x14ac:dyDescent="0.3">
      <c r="A19" s="274">
        <v>3</v>
      </c>
      <c r="B19" s="275">
        <v>44060</v>
      </c>
      <c r="C19" s="276" t="s">
        <v>1722</v>
      </c>
      <c r="D19" s="276" t="s">
        <v>1824</v>
      </c>
      <c r="E19" s="277" t="s">
        <v>1827</v>
      </c>
      <c r="F19" s="276" t="s">
        <v>1825</v>
      </c>
      <c r="G19" s="276" t="s">
        <v>1743</v>
      </c>
      <c r="H19" s="276"/>
      <c r="I19" s="275"/>
      <c r="J19" s="275" t="s">
        <v>1712</v>
      </c>
      <c r="K19"/>
    </row>
    <row r="20" spans="1:11" ht="13.5" thickTop="1" thickBot="1" x14ac:dyDescent="0.3">
      <c r="A20" s="274">
        <v>4</v>
      </c>
      <c r="B20" s="275">
        <v>44060</v>
      </c>
      <c r="C20" s="276" t="s">
        <v>1722</v>
      </c>
      <c r="D20" s="276" t="s">
        <v>1824</v>
      </c>
      <c r="E20" s="277" t="s">
        <v>1713</v>
      </c>
      <c r="F20" s="276" t="s">
        <v>1825</v>
      </c>
      <c r="G20" s="276" t="s">
        <v>1743</v>
      </c>
      <c r="H20" s="276"/>
      <c r="I20" s="275"/>
      <c r="J20" s="275" t="s">
        <v>1712</v>
      </c>
      <c r="K20"/>
    </row>
    <row r="21" spans="1:11" ht="13.5" thickTop="1" thickBot="1" x14ac:dyDescent="0.3">
      <c r="A21" s="274">
        <v>5</v>
      </c>
      <c r="B21" s="275">
        <v>44060</v>
      </c>
      <c r="C21" s="276" t="s">
        <v>1722</v>
      </c>
      <c r="D21" s="276" t="s">
        <v>1824</v>
      </c>
      <c r="E21" s="277" t="s">
        <v>1714</v>
      </c>
      <c r="F21" s="276" t="s">
        <v>1825</v>
      </c>
      <c r="G21" s="276" t="s">
        <v>1641</v>
      </c>
      <c r="H21" s="276" t="s">
        <v>1722</v>
      </c>
      <c r="I21" s="275">
        <v>44061</v>
      </c>
      <c r="J21" s="275" t="s">
        <v>1740</v>
      </c>
      <c r="K21"/>
    </row>
    <row r="22" spans="1:11" ht="26" thickTop="1" thickBot="1" x14ac:dyDescent="0.3">
      <c r="A22" s="274">
        <v>6</v>
      </c>
      <c r="B22" s="275">
        <v>44060</v>
      </c>
      <c r="C22" s="276" t="s">
        <v>1722</v>
      </c>
      <c r="D22" s="276" t="s">
        <v>1828</v>
      </c>
      <c r="E22" s="277" t="s">
        <v>1731</v>
      </c>
      <c r="F22" s="276" t="s">
        <v>1825</v>
      </c>
      <c r="G22" s="276" t="s">
        <v>1641</v>
      </c>
      <c r="H22" s="276" t="s">
        <v>1722</v>
      </c>
      <c r="I22" s="275">
        <v>44060</v>
      </c>
      <c r="J22" s="278" t="s">
        <v>1715</v>
      </c>
      <c r="K22"/>
    </row>
    <row r="23" spans="1:11" ht="26" thickTop="1" thickBot="1" x14ac:dyDescent="0.3">
      <c r="A23" s="274">
        <v>7</v>
      </c>
      <c r="B23" s="275">
        <v>44060</v>
      </c>
      <c r="C23" s="276" t="s">
        <v>1722</v>
      </c>
      <c r="D23" s="276" t="s">
        <v>1828</v>
      </c>
      <c r="E23" s="277" t="s">
        <v>1732</v>
      </c>
      <c r="F23" s="276" t="s">
        <v>1825</v>
      </c>
      <c r="G23" s="276" t="s">
        <v>1641</v>
      </c>
      <c r="H23" s="276" t="s">
        <v>1722</v>
      </c>
      <c r="I23" s="275">
        <v>44060</v>
      </c>
      <c r="J23" s="278" t="s">
        <v>1716</v>
      </c>
      <c r="K23"/>
    </row>
    <row r="24" spans="1:11" ht="26" thickTop="1" thickBot="1" x14ac:dyDescent="0.3">
      <c r="A24" s="274">
        <v>8</v>
      </c>
      <c r="B24" s="275">
        <v>44060</v>
      </c>
      <c r="C24" s="276" t="s">
        <v>1722</v>
      </c>
      <c r="D24" s="276" t="s">
        <v>1828</v>
      </c>
      <c r="E24" s="277" t="s">
        <v>1733</v>
      </c>
      <c r="F24" s="276" t="s">
        <v>1825</v>
      </c>
      <c r="G24" s="276" t="s">
        <v>1642</v>
      </c>
      <c r="H24" s="276"/>
      <c r="I24" s="275"/>
      <c r="J24" s="278" t="s">
        <v>1717</v>
      </c>
      <c r="K24"/>
    </row>
    <row r="25" spans="1:11" ht="26" thickTop="1" thickBot="1" x14ac:dyDescent="0.3">
      <c r="A25" s="274">
        <v>9</v>
      </c>
      <c r="B25" s="275">
        <v>44060</v>
      </c>
      <c r="C25" s="276" t="s">
        <v>1722</v>
      </c>
      <c r="D25" s="276" t="s">
        <v>1828</v>
      </c>
      <c r="E25" s="277" t="s">
        <v>1734</v>
      </c>
      <c r="F25" s="276" t="s">
        <v>1825</v>
      </c>
      <c r="G25" s="276" t="s">
        <v>1814</v>
      </c>
      <c r="H25" s="276" t="s">
        <v>1722</v>
      </c>
      <c r="I25" s="275">
        <v>44060</v>
      </c>
      <c r="J25" s="278" t="s">
        <v>1723</v>
      </c>
      <c r="K25"/>
    </row>
    <row r="26" spans="1:11" ht="26" thickTop="1" thickBot="1" x14ac:dyDescent="0.3">
      <c r="A26" s="274">
        <v>10</v>
      </c>
      <c r="B26" s="275">
        <v>44060</v>
      </c>
      <c r="C26" s="276" t="s">
        <v>1722</v>
      </c>
      <c r="D26" s="276" t="s">
        <v>1828</v>
      </c>
      <c r="E26" s="277" t="s">
        <v>1735</v>
      </c>
      <c r="F26" s="276" t="s">
        <v>1825</v>
      </c>
      <c r="G26" s="276" t="s">
        <v>1641</v>
      </c>
      <c r="H26" s="276" t="s">
        <v>1722</v>
      </c>
      <c r="I26" s="275">
        <v>44060</v>
      </c>
      <c r="J26" s="278" t="s">
        <v>1711</v>
      </c>
      <c r="K26"/>
    </row>
    <row r="27" spans="1:11" ht="26" thickTop="1" thickBot="1" x14ac:dyDescent="0.3">
      <c r="A27" s="274">
        <v>11</v>
      </c>
      <c r="B27" s="275">
        <v>44060</v>
      </c>
      <c r="C27" s="276" t="s">
        <v>1722</v>
      </c>
      <c r="D27" s="276" t="s">
        <v>1828</v>
      </c>
      <c r="E27" s="277" t="s">
        <v>1736</v>
      </c>
      <c r="F27" s="276" t="s">
        <v>1825</v>
      </c>
      <c r="G27" s="276" t="s">
        <v>1642</v>
      </c>
      <c r="H27" s="276"/>
      <c r="I27" s="275"/>
      <c r="J27" s="278" t="s">
        <v>1717</v>
      </c>
      <c r="K27"/>
    </row>
    <row r="28" spans="1:11" ht="26" thickTop="1" thickBot="1" x14ac:dyDescent="0.3">
      <c r="A28" s="274">
        <v>12</v>
      </c>
      <c r="B28" s="275">
        <v>44060</v>
      </c>
      <c r="C28" s="276" t="s">
        <v>1722</v>
      </c>
      <c r="D28" s="276" t="s">
        <v>1828</v>
      </c>
      <c r="E28" s="277" t="s">
        <v>1737</v>
      </c>
      <c r="F28" s="276" t="s">
        <v>1825</v>
      </c>
      <c r="G28" s="276" t="s">
        <v>1641</v>
      </c>
      <c r="H28" s="276" t="s">
        <v>1722</v>
      </c>
      <c r="I28" s="275">
        <v>44060</v>
      </c>
      <c r="J28" s="278" t="s">
        <v>1721</v>
      </c>
      <c r="K28"/>
    </row>
    <row r="29" spans="1:11" ht="26" thickTop="1" thickBot="1" x14ac:dyDescent="0.3">
      <c r="A29" s="274">
        <v>13</v>
      </c>
      <c r="B29" s="279">
        <v>44060</v>
      </c>
      <c r="C29" s="280" t="s">
        <v>1722</v>
      </c>
      <c r="D29" s="280" t="s">
        <v>1828</v>
      </c>
      <c r="E29" s="292" t="s">
        <v>1738</v>
      </c>
      <c r="F29" s="280" t="s">
        <v>1825</v>
      </c>
      <c r="G29" s="280" t="s">
        <v>1641</v>
      </c>
      <c r="H29" s="280" t="s">
        <v>1722</v>
      </c>
      <c r="I29" s="279">
        <v>44060</v>
      </c>
      <c r="J29" s="278" t="s">
        <v>1720</v>
      </c>
      <c r="K29"/>
    </row>
    <row r="30" spans="1:11" ht="26" thickTop="1" thickBot="1" x14ac:dyDescent="0.3">
      <c r="A30" s="274">
        <v>14</v>
      </c>
      <c r="B30" s="279">
        <v>44063</v>
      </c>
      <c r="C30" s="280"/>
      <c r="D30" s="280" t="s">
        <v>1828</v>
      </c>
      <c r="E30" s="293" t="s">
        <v>1744</v>
      </c>
      <c r="F30" s="276" t="s">
        <v>1825</v>
      </c>
      <c r="G30" s="280" t="s">
        <v>1814</v>
      </c>
      <c r="H30" s="280" t="s">
        <v>1757</v>
      </c>
      <c r="I30" s="279">
        <v>44064</v>
      </c>
      <c r="J30" s="275" t="s">
        <v>1752</v>
      </c>
      <c r="K30"/>
    </row>
    <row r="31" spans="1:11" ht="26" thickTop="1" thickBot="1" x14ac:dyDescent="0.3">
      <c r="A31" s="274">
        <v>15</v>
      </c>
      <c r="B31" s="275">
        <v>44063</v>
      </c>
      <c r="C31" s="276"/>
      <c r="D31" s="280" t="s">
        <v>1828</v>
      </c>
      <c r="E31" s="293" t="s">
        <v>1745</v>
      </c>
      <c r="F31" s="280" t="s">
        <v>1825</v>
      </c>
      <c r="G31" s="276" t="s">
        <v>1814</v>
      </c>
      <c r="H31" s="276" t="s">
        <v>1757</v>
      </c>
      <c r="I31" s="275">
        <v>44064</v>
      </c>
      <c r="J31" s="275" t="s">
        <v>1753</v>
      </c>
      <c r="K31"/>
    </row>
    <row r="32" spans="1:11" ht="13.5" thickTop="1" thickBot="1" x14ac:dyDescent="0.3">
      <c r="A32" s="274">
        <v>16</v>
      </c>
      <c r="B32" s="279">
        <v>44063</v>
      </c>
      <c r="C32" s="276"/>
      <c r="D32" s="280" t="s">
        <v>1828</v>
      </c>
      <c r="E32" s="293" t="s">
        <v>1746</v>
      </c>
      <c r="F32" s="276" t="s">
        <v>1825</v>
      </c>
      <c r="G32" s="276" t="s">
        <v>1814</v>
      </c>
      <c r="H32" s="276" t="s">
        <v>1757</v>
      </c>
      <c r="I32" s="275">
        <v>44064</v>
      </c>
      <c r="J32" s="275" t="s">
        <v>1752</v>
      </c>
      <c r="K32"/>
    </row>
    <row r="33" spans="1:11" ht="13.5" thickTop="1" thickBot="1" x14ac:dyDescent="0.3">
      <c r="A33" s="274">
        <v>17</v>
      </c>
      <c r="B33" s="279">
        <v>44063</v>
      </c>
      <c r="C33" s="276"/>
      <c r="D33" s="280" t="s">
        <v>1828</v>
      </c>
      <c r="E33" s="293" t="s">
        <v>1747</v>
      </c>
      <c r="F33" s="280" t="s">
        <v>1825</v>
      </c>
      <c r="G33" s="276" t="s">
        <v>1814</v>
      </c>
      <c r="H33" s="276" t="s">
        <v>1757</v>
      </c>
      <c r="I33" s="275">
        <v>44064</v>
      </c>
      <c r="J33" s="275" t="s">
        <v>1754</v>
      </c>
      <c r="K33"/>
    </row>
    <row r="34" spans="1:11" ht="38.5" thickTop="1" thickBot="1" x14ac:dyDescent="0.3">
      <c r="A34" s="274">
        <v>18</v>
      </c>
      <c r="B34" s="275">
        <v>44063</v>
      </c>
      <c r="C34" s="276"/>
      <c r="D34" s="280" t="s">
        <v>1828</v>
      </c>
      <c r="E34" s="293" t="s">
        <v>1748</v>
      </c>
      <c r="F34" s="276" t="s">
        <v>1825</v>
      </c>
      <c r="G34" s="276" t="s">
        <v>1814</v>
      </c>
      <c r="H34" s="276" t="s">
        <v>1757</v>
      </c>
      <c r="I34" s="275">
        <v>44064</v>
      </c>
      <c r="J34" s="275" t="s">
        <v>1755</v>
      </c>
      <c r="K34"/>
    </row>
    <row r="35" spans="1:11" ht="26" thickTop="1" thickBot="1" x14ac:dyDescent="0.3">
      <c r="A35" s="274">
        <v>19</v>
      </c>
      <c r="B35" s="279">
        <v>44063</v>
      </c>
      <c r="C35" s="276"/>
      <c r="D35" s="280" t="s">
        <v>1828</v>
      </c>
      <c r="E35" s="293" t="s">
        <v>1749</v>
      </c>
      <c r="F35" s="280" t="s">
        <v>1825</v>
      </c>
      <c r="G35" s="276" t="s">
        <v>1814</v>
      </c>
      <c r="H35" s="276" t="s">
        <v>1757</v>
      </c>
      <c r="I35" s="275">
        <v>44064</v>
      </c>
      <c r="J35" s="275" t="s">
        <v>1756</v>
      </c>
      <c r="K35"/>
    </row>
    <row r="36" spans="1:11" ht="13.5" thickTop="1" thickBot="1" x14ac:dyDescent="0.3">
      <c r="A36" s="274">
        <v>20</v>
      </c>
      <c r="B36" s="279">
        <v>44063</v>
      </c>
      <c r="C36" s="276"/>
      <c r="D36" s="280" t="s">
        <v>1828</v>
      </c>
      <c r="E36" s="293" t="s">
        <v>1750</v>
      </c>
      <c r="F36" s="280" t="s">
        <v>1825</v>
      </c>
      <c r="G36" s="276" t="s">
        <v>1814</v>
      </c>
      <c r="H36" s="276" t="s">
        <v>1757</v>
      </c>
      <c r="I36" s="275">
        <v>44064</v>
      </c>
      <c r="J36" s="275" t="s">
        <v>1752</v>
      </c>
      <c r="K36"/>
    </row>
    <row r="37" spans="1:11" ht="26" thickTop="1" thickBot="1" x14ac:dyDescent="0.3">
      <c r="A37" s="274">
        <v>21</v>
      </c>
      <c r="B37" s="275">
        <v>44068</v>
      </c>
      <c r="C37" s="276"/>
      <c r="D37" s="280" t="s">
        <v>1828</v>
      </c>
      <c r="E37" s="281" t="s">
        <v>1758</v>
      </c>
      <c r="F37" s="276" t="s">
        <v>1825</v>
      </c>
      <c r="G37" s="276" t="s">
        <v>1814</v>
      </c>
      <c r="H37" s="276" t="s">
        <v>1759</v>
      </c>
      <c r="I37" s="275">
        <v>44068</v>
      </c>
      <c r="J37" s="275" t="s">
        <v>1776</v>
      </c>
      <c r="K37"/>
    </row>
    <row r="38" spans="1:11" ht="26" thickTop="1" thickBot="1" x14ac:dyDescent="0.3">
      <c r="A38" s="274">
        <v>22</v>
      </c>
      <c r="B38" s="275">
        <v>44068</v>
      </c>
      <c r="C38" s="276"/>
      <c r="D38" s="276"/>
      <c r="E38" s="281" t="s">
        <v>1751</v>
      </c>
      <c r="F38" s="282"/>
      <c r="G38" s="276" t="s">
        <v>1743</v>
      </c>
      <c r="H38" s="276"/>
      <c r="I38" s="275"/>
      <c r="J38" s="275"/>
      <c r="K38"/>
    </row>
    <row r="39" spans="1:11" ht="13.5" thickTop="1" thickBot="1" x14ac:dyDescent="0.3">
      <c r="A39" s="274">
        <v>23</v>
      </c>
      <c r="B39" s="275">
        <v>44069</v>
      </c>
      <c r="C39" s="276"/>
      <c r="D39" s="276" t="s">
        <v>1828</v>
      </c>
      <c r="E39" s="281" t="s">
        <v>1768</v>
      </c>
      <c r="F39" s="282" t="s">
        <v>1825</v>
      </c>
      <c r="G39" s="276" t="s">
        <v>1814</v>
      </c>
      <c r="H39" s="276" t="s">
        <v>1777</v>
      </c>
      <c r="I39" s="275">
        <v>44069</v>
      </c>
      <c r="J39" s="275" t="s">
        <v>1774</v>
      </c>
      <c r="K39"/>
    </row>
    <row r="40" spans="1:11" ht="13.5" thickTop="1" thickBot="1" x14ac:dyDescent="0.3">
      <c r="A40" s="274">
        <v>24</v>
      </c>
      <c r="B40" s="275">
        <v>44069</v>
      </c>
      <c r="C40" s="276"/>
      <c r="D40" s="276" t="s">
        <v>1828</v>
      </c>
      <c r="E40" s="281" t="s">
        <v>1769</v>
      </c>
      <c r="F40" s="282" t="s">
        <v>1825</v>
      </c>
      <c r="G40" s="276" t="s">
        <v>1814</v>
      </c>
      <c r="H40" s="276" t="s">
        <v>1777</v>
      </c>
      <c r="I40" s="275">
        <v>44069</v>
      </c>
      <c r="J40" s="275" t="s">
        <v>1775</v>
      </c>
      <c r="K40"/>
    </row>
    <row r="41" spans="1:11" ht="13.5" thickTop="1" thickBot="1" x14ac:dyDescent="0.3">
      <c r="A41" s="274">
        <v>25</v>
      </c>
      <c r="B41" s="275">
        <v>44069</v>
      </c>
      <c r="C41" s="276"/>
      <c r="D41" s="276" t="s">
        <v>1828</v>
      </c>
      <c r="E41" s="281" t="s">
        <v>1778</v>
      </c>
      <c r="F41" s="282" t="s">
        <v>1825</v>
      </c>
      <c r="G41" s="276" t="s">
        <v>1814</v>
      </c>
      <c r="H41" s="276" t="s">
        <v>1780</v>
      </c>
      <c r="I41" s="275">
        <v>44069</v>
      </c>
      <c r="J41" s="275" t="s">
        <v>1779</v>
      </c>
      <c r="K41"/>
    </row>
    <row r="42" spans="1:11" ht="13.5" thickTop="1" thickBot="1" x14ac:dyDescent="0.3">
      <c r="A42" s="274">
        <v>26</v>
      </c>
      <c r="B42" s="275">
        <v>44069</v>
      </c>
      <c r="C42" s="276"/>
      <c r="D42" s="276" t="s">
        <v>1828</v>
      </c>
      <c r="E42" s="281" t="s">
        <v>1781</v>
      </c>
      <c r="F42" s="282" t="s">
        <v>1825</v>
      </c>
      <c r="G42" s="276" t="s">
        <v>1814</v>
      </c>
      <c r="H42" s="276" t="s">
        <v>1783</v>
      </c>
      <c r="I42" s="275">
        <v>44070</v>
      </c>
      <c r="J42" s="275" t="s">
        <v>1782</v>
      </c>
      <c r="K42"/>
    </row>
    <row r="43" spans="1:11" ht="13.5" thickTop="1" thickBot="1" x14ac:dyDescent="0.3">
      <c r="A43" s="274">
        <v>27</v>
      </c>
      <c r="B43" s="275">
        <v>44063</v>
      </c>
      <c r="C43" s="276"/>
      <c r="D43" s="276" t="s">
        <v>1825</v>
      </c>
      <c r="E43" s="281" t="s">
        <v>1767</v>
      </c>
      <c r="F43" s="276"/>
      <c r="G43" s="276" t="s">
        <v>1743</v>
      </c>
      <c r="H43" s="276"/>
      <c r="I43" s="275"/>
      <c r="J43" s="275" t="s">
        <v>1766</v>
      </c>
      <c r="K43"/>
    </row>
    <row r="44" spans="1:11" ht="13.5" thickTop="1" thickBot="1" x14ac:dyDescent="0.3">
      <c r="A44" s="274">
        <v>28</v>
      </c>
      <c r="B44" s="275">
        <v>44063</v>
      </c>
      <c r="C44" s="276"/>
      <c r="D44" s="276" t="s">
        <v>1825</v>
      </c>
      <c r="E44" s="281" t="s">
        <v>1785</v>
      </c>
      <c r="F44" s="282" t="s">
        <v>1825</v>
      </c>
      <c r="G44" s="276" t="s">
        <v>1814</v>
      </c>
      <c r="H44" s="276" t="s">
        <v>1759</v>
      </c>
      <c r="I44" s="275">
        <v>44070</v>
      </c>
      <c r="J44" s="275" t="s">
        <v>1784</v>
      </c>
      <c r="K44"/>
    </row>
    <row r="45" spans="1:11" ht="13.5" thickTop="1" thickBot="1" x14ac:dyDescent="0.3">
      <c r="A45" s="274">
        <v>29</v>
      </c>
      <c r="B45" s="275">
        <v>44068</v>
      </c>
      <c r="C45" s="276"/>
      <c r="D45" s="276" t="s">
        <v>1825</v>
      </c>
      <c r="E45" s="281" t="s">
        <v>1760</v>
      </c>
      <c r="F45" s="282" t="s">
        <v>1825</v>
      </c>
      <c r="G45" s="276" t="s">
        <v>1814</v>
      </c>
      <c r="H45" s="276" t="s">
        <v>1759</v>
      </c>
      <c r="I45" s="275">
        <v>44068</v>
      </c>
      <c r="J45" s="275" t="s">
        <v>1764</v>
      </c>
      <c r="K45"/>
    </row>
    <row r="46" spans="1:11" ht="13.5" thickTop="1" thickBot="1" x14ac:dyDescent="0.3">
      <c r="A46" s="274">
        <v>30</v>
      </c>
      <c r="B46" s="275">
        <v>44068</v>
      </c>
      <c r="C46" s="276"/>
      <c r="D46" s="276" t="s">
        <v>1825</v>
      </c>
      <c r="E46" s="281" t="s">
        <v>1762</v>
      </c>
      <c r="F46" s="282" t="s">
        <v>1825</v>
      </c>
      <c r="G46" s="276" t="s">
        <v>1814</v>
      </c>
      <c r="H46" s="276" t="s">
        <v>1773</v>
      </c>
      <c r="I46" s="275">
        <v>44068</v>
      </c>
      <c r="J46" s="275" t="s">
        <v>1763</v>
      </c>
      <c r="K46"/>
    </row>
    <row r="47" spans="1:11" ht="13.5" thickTop="1" thickBot="1" x14ac:dyDescent="0.3">
      <c r="A47" s="274">
        <v>31</v>
      </c>
      <c r="B47" s="275">
        <v>44069</v>
      </c>
      <c r="C47" s="276"/>
      <c r="D47" s="276" t="s">
        <v>1825</v>
      </c>
      <c r="E47" s="281" t="s">
        <v>1772</v>
      </c>
      <c r="F47" s="276"/>
      <c r="G47" s="276" t="s">
        <v>1743</v>
      </c>
      <c r="H47" s="276"/>
      <c r="I47" s="275"/>
      <c r="J47" s="275"/>
      <c r="K47"/>
    </row>
    <row r="48" spans="1:11" ht="13.5" thickTop="1" thickBot="1" x14ac:dyDescent="0.3">
      <c r="A48" s="274">
        <v>32</v>
      </c>
      <c r="B48" s="275">
        <v>44117</v>
      </c>
      <c r="C48" s="276"/>
      <c r="D48" s="276" t="s">
        <v>1825</v>
      </c>
      <c r="E48" s="281" t="s">
        <v>1787</v>
      </c>
      <c r="F48" s="282" t="s">
        <v>1825</v>
      </c>
      <c r="G48" s="276" t="s">
        <v>1814</v>
      </c>
      <c r="H48" s="276" t="s">
        <v>1786</v>
      </c>
      <c r="I48" s="275"/>
      <c r="J48" s="275"/>
      <c r="K48"/>
    </row>
    <row r="49" spans="1:11" ht="26" thickTop="1" thickBot="1" x14ac:dyDescent="0.3">
      <c r="A49" s="274">
        <v>33</v>
      </c>
      <c r="B49" s="275">
        <v>44124</v>
      </c>
      <c r="C49" s="276"/>
      <c r="D49" s="276" t="s">
        <v>1825</v>
      </c>
      <c r="E49" s="281" t="s">
        <v>1801</v>
      </c>
      <c r="F49" s="282" t="s">
        <v>1825</v>
      </c>
      <c r="G49" s="276" t="s">
        <v>1814</v>
      </c>
      <c r="H49" s="276" t="s">
        <v>1829</v>
      </c>
      <c r="I49" s="275">
        <v>44124</v>
      </c>
      <c r="J49" s="275" t="s">
        <v>1802</v>
      </c>
      <c r="K49"/>
    </row>
    <row r="50" spans="1:11" ht="13.5" thickTop="1" thickBot="1" x14ac:dyDescent="0.3">
      <c r="A50" s="274">
        <v>34</v>
      </c>
      <c r="B50" s="275">
        <v>44060</v>
      </c>
      <c r="C50" s="276"/>
      <c r="D50" s="276" t="s">
        <v>1825</v>
      </c>
      <c r="E50" s="281" t="s">
        <v>1726</v>
      </c>
      <c r="F50" s="282" t="s">
        <v>1825</v>
      </c>
      <c r="G50" s="276" t="s">
        <v>1814</v>
      </c>
      <c r="H50" s="276" t="s">
        <v>1722</v>
      </c>
      <c r="I50" s="275">
        <v>44060</v>
      </c>
      <c r="J50" s="275" t="s">
        <v>1718</v>
      </c>
      <c r="K50"/>
    </row>
    <row r="51" spans="1:11" ht="26" thickTop="1" thickBot="1" x14ac:dyDescent="0.3">
      <c r="A51" s="274">
        <v>35</v>
      </c>
      <c r="B51" s="275">
        <v>44060</v>
      </c>
      <c r="C51" s="276"/>
      <c r="D51" s="276" t="s">
        <v>1825</v>
      </c>
      <c r="E51" s="281" t="s">
        <v>1727</v>
      </c>
      <c r="F51" s="282" t="s">
        <v>1825</v>
      </c>
      <c r="G51" s="276" t="s">
        <v>1814</v>
      </c>
      <c r="H51" s="276" t="s">
        <v>1722</v>
      </c>
      <c r="I51" s="275">
        <v>44060</v>
      </c>
      <c r="J51" s="275" t="s">
        <v>1719</v>
      </c>
      <c r="K51"/>
    </row>
    <row r="52" spans="1:11" ht="38.5" thickTop="1" thickBot="1" x14ac:dyDescent="0.3">
      <c r="A52" s="274">
        <v>36</v>
      </c>
      <c r="B52" s="275">
        <v>44060</v>
      </c>
      <c r="C52" s="276"/>
      <c r="D52" s="276" t="s">
        <v>1825</v>
      </c>
      <c r="E52" s="281" t="s">
        <v>1728</v>
      </c>
      <c r="F52" s="282" t="s">
        <v>1825</v>
      </c>
      <c r="G52" s="276" t="s">
        <v>1814</v>
      </c>
      <c r="H52" s="276" t="s">
        <v>1724</v>
      </c>
      <c r="I52" s="275">
        <v>44061</v>
      </c>
      <c r="J52" s="275" t="s">
        <v>1725</v>
      </c>
      <c r="K52"/>
    </row>
    <row r="53" spans="1:11" ht="38.5" thickTop="1" thickBot="1" x14ac:dyDescent="0.3">
      <c r="A53" s="274">
        <v>37</v>
      </c>
      <c r="B53" s="275">
        <v>44060</v>
      </c>
      <c r="C53" s="276"/>
      <c r="D53" s="276" t="s">
        <v>1825</v>
      </c>
      <c r="E53" s="281" t="s">
        <v>1729</v>
      </c>
      <c r="F53" s="282" t="s">
        <v>1825</v>
      </c>
      <c r="G53" s="276" t="s">
        <v>1814</v>
      </c>
      <c r="H53" s="276" t="s">
        <v>1724</v>
      </c>
      <c r="I53" s="275">
        <v>44061</v>
      </c>
      <c r="J53" s="275" t="s">
        <v>1741</v>
      </c>
      <c r="K53"/>
    </row>
    <row r="54" spans="1:11" ht="26" thickTop="1" thickBot="1" x14ac:dyDescent="0.3">
      <c r="A54" s="274">
        <v>38</v>
      </c>
      <c r="B54" s="275">
        <v>44060</v>
      </c>
      <c r="C54" s="276"/>
      <c r="D54" s="276" t="s">
        <v>1825</v>
      </c>
      <c r="E54" s="281" t="s">
        <v>1730</v>
      </c>
      <c r="F54" s="282" t="s">
        <v>1825</v>
      </c>
      <c r="G54" s="276" t="s">
        <v>1814</v>
      </c>
      <c r="H54" s="276" t="s">
        <v>1724</v>
      </c>
      <c r="I54" s="275">
        <v>44061</v>
      </c>
      <c r="J54" s="275" t="s">
        <v>1739</v>
      </c>
      <c r="K54"/>
    </row>
    <row r="55" spans="1:11" ht="13.5" thickTop="1" thickBot="1" x14ac:dyDescent="0.3">
      <c r="A55" s="274">
        <v>39</v>
      </c>
      <c r="B55" s="275">
        <v>44060</v>
      </c>
      <c r="C55" s="276"/>
      <c r="D55" s="276" t="s">
        <v>1825</v>
      </c>
      <c r="E55" s="281" t="s">
        <v>1742</v>
      </c>
      <c r="F55" s="276"/>
      <c r="G55" s="276" t="s">
        <v>1743</v>
      </c>
      <c r="H55" s="276"/>
      <c r="I55" s="275"/>
      <c r="J55" s="275"/>
      <c r="K55"/>
    </row>
    <row r="56" spans="1:11" ht="13.5" thickTop="1" thickBot="1" x14ac:dyDescent="0.3">
      <c r="A56" s="274">
        <v>40</v>
      </c>
      <c r="B56" s="275">
        <v>44068</v>
      </c>
      <c r="C56" s="276"/>
      <c r="D56" s="276" t="s">
        <v>1825</v>
      </c>
      <c r="E56" s="281" t="s">
        <v>1765</v>
      </c>
      <c r="F56" s="282" t="s">
        <v>1825</v>
      </c>
      <c r="G56" s="276" t="s">
        <v>1814</v>
      </c>
      <c r="H56" s="276" t="s">
        <v>1759</v>
      </c>
      <c r="I56" s="275">
        <v>44068</v>
      </c>
      <c r="J56" s="275" t="s">
        <v>1764</v>
      </c>
      <c r="K56"/>
    </row>
    <row r="57" spans="1:11" ht="13.5" thickTop="1" thickBot="1" x14ac:dyDescent="0.3">
      <c r="A57" s="274">
        <v>41</v>
      </c>
      <c r="B57" s="275">
        <v>44117</v>
      </c>
      <c r="C57" s="276"/>
      <c r="D57" s="276" t="s">
        <v>1825</v>
      </c>
      <c r="E57" s="281" t="s">
        <v>1787</v>
      </c>
      <c r="F57" s="276"/>
      <c r="G57" s="276" t="s">
        <v>1743</v>
      </c>
      <c r="H57" s="276" t="s">
        <v>1786</v>
      </c>
      <c r="I57" s="275"/>
      <c r="J57" s="275"/>
      <c r="K57"/>
    </row>
    <row r="58" spans="1:11" ht="26" thickTop="1" thickBot="1" x14ac:dyDescent="0.3">
      <c r="A58" s="274">
        <v>42</v>
      </c>
      <c r="B58" s="275">
        <v>44125</v>
      </c>
      <c r="C58" s="276"/>
      <c r="D58" s="276" t="s">
        <v>1825</v>
      </c>
      <c r="E58" s="281" t="s">
        <v>1803</v>
      </c>
      <c r="F58" s="282" t="s">
        <v>1825</v>
      </c>
      <c r="G58" s="276" t="s">
        <v>1814</v>
      </c>
      <c r="H58" s="276" t="s">
        <v>1829</v>
      </c>
      <c r="I58" s="275">
        <v>44125</v>
      </c>
      <c r="J58" s="275" t="s">
        <v>1830</v>
      </c>
      <c r="K58"/>
    </row>
    <row r="59" spans="1:11" ht="26" thickTop="1" thickBot="1" x14ac:dyDescent="0.3">
      <c r="A59" s="274">
        <v>43</v>
      </c>
      <c r="B59" s="275">
        <v>44123</v>
      </c>
      <c r="C59" s="276"/>
      <c r="D59" s="282" t="s">
        <v>1828</v>
      </c>
      <c r="E59" s="281" t="s">
        <v>1797</v>
      </c>
      <c r="F59" s="282" t="s">
        <v>1825</v>
      </c>
      <c r="G59" s="276" t="s">
        <v>1814</v>
      </c>
      <c r="H59" s="276" t="s">
        <v>1829</v>
      </c>
      <c r="I59" s="275">
        <v>44124</v>
      </c>
      <c r="J59" s="275" t="s">
        <v>1795</v>
      </c>
      <c r="K59"/>
    </row>
    <row r="60" spans="1:11" ht="38.5" thickTop="1" thickBot="1" x14ac:dyDescent="0.3">
      <c r="A60" s="274">
        <v>44</v>
      </c>
      <c r="B60" s="275">
        <v>44123</v>
      </c>
      <c r="C60" s="276" t="s">
        <v>1796</v>
      </c>
      <c r="D60" s="282" t="s">
        <v>1824</v>
      </c>
      <c r="E60" s="281" t="s">
        <v>1798</v>
      </c>
      <c r="F60" s="276"/>
      <c r="G60" s="276" t="s">
        <v>1743</v>
      </c>
      <c r="H60" s="276"/>
      <c r="I60" s="275"/>
      <c r="J60" s="275"/>
      <c r="K60"/>
    </row>
    <row r="61" spans="1:11" ht="26" thickTop="1" thickBot="1" x14ac:dyDescent="0.3">
      <c r="A61" s="274">
        <v>45</v>
      </c>
      <c r="B61" s="275">
        <v>44123</v>
      </c>
      <c r="C61" s="276" t="s">
        <v>1796</v>
      </c>
      <c r="D61" s="282" t="s">
        <v>1840</v>
      </c>
      <c r="E61" s="281" t="s">
        <v>1799</v>
      </c>
      <c r="F61" s="276"/>
      <c r="G61" s="276"/>
      <c r="H61" s="276"/>
      <c r="I61" s="275"/>
      <c r="J61" s="275"/>
      <c r="K61"/>
    </row>
    <row r="62" spans="1:11" ht="13.5" thickTop="1" thickBot="1" x14ac:dyDescent="0.3">
      <c r="A62" s="274">
        <v>46</v>
      </c>
      <c r="B62" s="275">
        <v>44123</v>
      </c>
      <c r="C62" s="276" t="s">
        <v>1796</v>
      </c>
      <c r="D62" s="282" t="s">
        <v>1840</v>
      </c>
      <c r="E62" s="277" t="s">
        <v>1831</v>
      </c>
      <c r="F62" s="282" t="s">
        <v>1825</v>
      </c>
      <c r="G62" s="276" t="s">
        <v>1814</v>
      </c>
      <c r="H62" s="276" t="s">
        <v>1796</v>
      </c>
      <c r="I62" s="275">
        <v>44124</v>
      </c>
      <c r="J62" s="275" t="s">
        <v>1800</v>
      </c>
      <c r="K62"/>
    </row>
    <row r="63" spans="1:11" ht="13.5" thickTop="1" thickBot="1" x14ac:dyDescent="0.3">
      <c r="A63" s="274">
        <v>47</v>
      </c>
      <c r="B63" s="275">
        <v>44131</v>
      </c>
      <c r="C63" s="276" t="s">
        <v>1796</v>
      </c>
      <c r="D63" s="276" t="s">
        <v>1824</v>
      </c>
      <c r="E63" s="281" t="s">
        <v>1832</v>
      </c>
      <c r="F63" s="276" t="s">
        <v>1825</v>
      </c>
      <c r="G63" s="276"/>
      <c r="H63" s="276"/>
      <c r="I63" s="275"/>
      <c r="J63" s="275"/>
      <c r="K63"/>
    </row>
    <row r="64" spans="1:11" ht="13.5" thickTop="1" thickBot="1" x14ac:dyDescent="0.3">
      <c r="A64" s="274">
        <v>48</v>
      </c>
      <c r="B64" s="275">
        <v>44137</v>
      </c>
      <c r="C64" s="276" t="s">
        <v>1796</v>
      </c>
      <c r="D64" s="276" t="s">
        <v>1824</v>
      </c>
      <c r="E64" s="281" t="s">
        <v>1838</v>
      </c>
      <c r="F64" s="276" t="s">
        <v>1825</v>
      </c>
      <c r="G64" s="276" t="s">
        <v>1814</v>
      </c>
      <c r="H64" s="276" t="s">
        <v>1796</v>
      </c>
      <c r="I64" s="275">
        <v>44138</v>
      </c>
      <c r="J64" s="275" t="s">
        <v>1839</v>
      </c>
      <c r="K64"/>
    </row>
    <row r="65" spans="1:11" ht="26" thickTop="1" thickBot="1" x14ac:dyDescent="0.3">
      <c r="A65" s="283">
        <v>49</v>
      </c>
      <c r="B65" s="284">
        <v>44137</v>
      </c>
      <c r="C65" s="276" t="s">
        <v>1796</v>
      </c>
      <c r="D65" s="285" t="s">
        <v>1840</v>
      </c>
      <c r="E65" s="286" t="s">
        <v>1841</v>
      </c>
      <c r="F65" s="285"/>
      <c r="G65" s="285"/>
      <c r="H65" s="285"/>
      <c r="I65" s="284"/>
      <c r="J65" s="284"/>
      <c r="K65"/>
    </row>
    <row r="66" spans="1:11" ht="13.5" thickTop="1" thickBot="1" x14ac:dyDescent="0.3">
      <c r="A66" s="294">
        <v>50</v>
      </c>
      <c r="B66" s="275">
        <v>44137</v>
      </c>
      <c r="C66" s="276" t="s">
        <v>1796</v>
      </c>
      <c r="D66" s="298" t="s">
        <v>1840</v>
      </c>
      <c r="E66" s="299" t="s">
        <v>1843</v>
      </c>
      <c r="F66" s="296"/>
      <c r="G66" s="296"/>
      <c r="H66" s="296"/>
      <c r="I66" s="295"/>
      <c r="J66" s="296"/>
      <c r="K66"/>
    </row>
    <row r="67" spans="1:11" ht="13.5" thickTop="1" thickBot="1" x14ac:dyDescent="0.3">
      <c r="A67" s="294">
        <v>51</v>
      </c>
      <c r="B67" s="284">
        <v>44137</v>
      </c>
      <c r="C67" s="276" t="s">
        <v>1796</v>
      </c>
      <c r="D67" s="296"/>
      <c r="E67" s="297"/>
      <c r="F67" s="296"/>
      <c r="G67" s="296"/>
      <c r="H67" s="296"/>
      <c r="I67" s="295"/>
      <c r="J67" s="296"/>
      <c r="K67"/>
    </row>
    <row r="68" spans="1:11" x14ac:dyDescent="0.25">
      <c r="K68"/>
    </row>
    <row r="69" spans="1:11" x14ac:dyDescent="0.25">
      <c r="K69"/>
    </row>
    <row r="70" spans="1:11" ht="11.65" customHeight="1" x14ac:dyDescent="0.25">
      <c r="K70"/>
    </row>
    <row r="71" spans="1:11" ht="11.65" customHeight="1" x14ac:dyDescent="0.25">
      <c r="K71"/>
    </row>
    <row r="72" spans="1:11" ht="11.65" customHeight="1" x14ac:dyDescent="0.25">
      <c r="K72"/>
    </row>
    <row r="73" spans="1:11" x14ac:dyDescent="0.25">
      <c r="K73"/>
    </row>
    <row r="74" spans="1:11" x14ac:dyDescent="0.25">
      <c r="K74"/>
    </row>
    <row r="75" spans="1:11" x14ac:dyDescent="0.25">
      <c r="K75"/>
    </row>
    <row r="76" spans="1:11" x14ac:dyDescent="0.25">
      <c r="K76"/>
    </row>
    <row r="77" spans="1:11" x14ac:dyDescent="0.25">
      <c r="K77"/>
    </row>
    <row r="78" spans="1:11" x14ac:dyDescent="0.25">
      <c r="K78"/>
    </row>
    <row r="79" spans="1:11" x14ac:dyDescent="0.25">
      <c r="K79"/>
    </row>
    <row r="80" spans="1:11" x14ac:dyDescent="0.25">
      <c r="K80"/>
    </row>
    <row r="81" spans="11:11" x14ac:dyDescent="0.25">
      <c r="K81"/>
    </row>
    <row r="82" spans="11:11" x14ac:dyDescent="0.25">
      <c r="K82"/>
    </row>
    <row r="83" spans="11:11" x14ac:dyDescent="0.25">
      <c r="K83"/>
    </row>
    <row r="84" spans="11:11" x14ac:dyDescent="0.25">
      <c r="K84"/>
    </row>
    <row r="85" spans="11:11" x14ac:dyDescent="0.25">
      <c r="K85"/>
    </row>
    <row r="86" spans="11:11" x14ac:dyDescent="0.25">
      <c r="K86"/>
    </row>
    <row r="87" spans="11:11" x14ac:dyDescent="0.25">
      <c r="K87"/>
    </row>
    <row r="88" spans="11:11" x14ac:dyDescent="0.25">
      <c r="K88"/>
    </row>
    <row r="89" spans="11:11" x14ac:dyDescent="0.25">
      <c r="K89"/>
    </row>
    <row r="90" spans="11:11" x14ac:dyDescent="0.25">
      <c r="K90"/>
    </row>
    <row r="91" spans="11:11" x14ac:dyDescent="0.25">
      <c r="K91"/>
    </row>
    <row r="92" spans="11:11" x14ac:dyDescent="0.25">
      <c r="K92"/>
    </row>
    <row r="93" spans="11:11" x14ac:dyDescent="0.25">
      <c r="K93"/>
    </row>
    <row r="94" spans="11:11" x14ac:dyDescent="0.25">
      <c r="K94"/>
    </row>
    <row r="95" spans="11:11" x14ac:dyDescent="0.25">
      <c r="K95"/>
    </row>
    <row r="96" spans="11:11" x14ac:dyDescent="0.25">
      <c r="K96"/>
    </row>
    <row r="97" spans="2:12" x14ac:dyDescent="0.25">
      <c r="K97"/>
    </row>
    <row r="98" spans="2:12" x14ac:dyDescent="0.25">
      <c r="K98"/>
    </row>
    <row r="99" spans="2:12" x14ac:dyDescent="0.25">
      <c r="K99"/>
    </row>
    <row r="100" spans="2:12" x14ac:dyDescent="0.25">
      <c r="K100"/>
    </row>
    <row r="101" spans="2:12" x14ac:dyDescent="0.25">
      <c r="K101"/>
    </row>
    <row r="102" spans="2:12" x14ac:dyDescent="0.25">
      <c r="K102"/>
    </row>
    <row r="103" spans="2:12" x14ac:dyDescent="0.25">
      <c r="K103"/>
    </row>
    <row r="104" spans="2:12" x14ac:dyDescent="0.25">
      <c r="K104"/>
    </row>
    <row r="105" spans="2:12" ht="14.5" x14ac:dyDescent="0.35">
      <c r="B105" s="221"/>
      <c r="C105" s="6"/>
      <c r="L105" s="223"/>
    </row>
    <row r="106" spans="2:12" ht="14.5" x14ac:dyDescent="0.35">
      <c r="B106" s="221"/>
      <c r="C106" s="6"/>
      <c r="L106" s="223"/>
    </row>
    <row r="107" spans="2:12" x14ac:dyDescent="0.25">
      <c r="C107" s="6"/>
    </row>
    <row r="108" spans="2:12" x14ac:dyDescent="0.25">
      <c r="C108" s="6"/>
    </row>
  </sheetData>
  <conditionalFormatting sqref="A17:J67">
    <cfRule type="expression" dxfId="26" priority="1">
      <formula>$G17=$A$10</formula>
    </cfRule>
    <cfRule type="expression" dxfId="25" priority="2">
      <formula>$G17=$A$12</formula>
    </cfRule>
    <cfRule type="expression" dxfId="24" priority="3">
      <formula>$G17=$A$11</formula>
    </cfRule>
  </conditionalFormatting>
  <dataValidations count="1">
    <dataValidation type="list" allowBlank="1" showInputMessage="1" showErrorMessage="1" sqref="G17:G67">
      <formula1>$A$10:$A$13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VAP100AE</vt:lpstr>
      <vt:lpstr>VB3</vt:lpstr>
      <vt:lpstr>VAP01</vt:lpstr>
      <vt:lpstr>Automation</vt:lpstr>
      <vt:lpstr>ExComponentsPath</vt:lpstr>
      <vt:lpstr>ExPath</vt:lpstr>
      <vt:lpstr>ExProductsPath</vt:lpstr>
    </vt:vector>
  </TitlesOfParts>
  <Company>Vodec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Ajay Joseph</cp:lastModifiedBy>
  <cp:lastPrinted>2015-06-03T13:04:16Z</cp:lastPrinted>
  <dcterms:created xsi:type="dcterms:W3CDTF">2005-08-17T10:46:14Z</dcterms:created>
  <dcterms:modified xsi:type="dcterms:W3CDTF">2020-11-04T14:51:25Z</dcterms:modified>
</cp:coreProperties>
</file>