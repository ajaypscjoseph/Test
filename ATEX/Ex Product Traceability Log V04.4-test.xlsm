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 Area\Manufacturing Archives\Logs\Archive\"/>
    </mc:Choice>
  </mc:AlternateContent>
  <bookViews>
    <workbookView xWindow="1560" yWindow="1560" windowWidth="28800" windowHeight="15470" firstSheet="1" activeTab="1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7" i="10" l="1"/>
  <c r="S7" i="10"/>
  <c r="T7" i="10"/>
  <c r="O6" i="10"/>
  <c r="S6" i="10"/>
  <c r="T6" i="10"/>
  <c r="O5" i="10"/>
  <c r="S5" i="10"/>
  <c r="T5" i="10"/>
  <c r="AB5" i="11" l="1"/>
  <c r="AC5" i="11"/>
  <c r="AD5" i="11"/>
  <c r="AE5" i="11"/>
  <c r="AF5" i="11"/>
  <c r="AG5" i="11"/>
  <c r="AH5" i="11"/>
  <c r="D6" i="11" l="1"/>
  <c r="H6" i="11" s="1"/>
  <c r="D5" i="11" l="1"/>
  <c r="H5" i="11" s="1"/>
  <c r="E10" i="10"/>
  <c r="J10" i="10" s="1"/>
  <c r="I10" i="10"/>
  <c r="E9" i="10"/>
  <c r="J9" i="10" s="1"/>
  <c r="I9" i="10"/>
  <c r="E8" i="10"/>
  <c r="J8" i="10" s="1"/>
  <c r="I8" i="10"/>
  <c r="E7" i="10"/>
  <c r="J7" i="10" s="1"/>
  <c r="I7" i="10"/>
  <c r="E6" i="10"/>
  <c r="J6" i="10" s="1"/>
  <c r="I6" i="10"/>
  <c r="E5" i="10"/>
  <c r="J5" i="10" s="1"/>
  <c r="I5" i="10"/>
  <c r="T4" i="10" l="1"/>
  <c r="S4" i="10"/>
  <c r="AH4" i="11" l="1"/>
  <c r="AG4" i="11"/>
  <c r="AF4" i="11"/>
  <c r="AE4" i="11"/>
  <c r="AD4" i="11"/>
  <c r="AC4" i="11"/>
  <c r="AB4" i="11"/>
  <c r="D4" i="11" l="1"/>
  <c r="H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D7" i="8"/>
  <c r="H7" i="8" s="1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H4" i="10"/>
  <c r="AG4" i="10"/>
  <c r="AF4" i="10"/>
  <c r="AE4" i="10"/>
  <c r="AD4" i="10"/>
  <c r="AC4" i="10"/>
  <c r="O4" i="10"/>
  <c r="J4" i="10"/>
  <c r="I4" i="10"/>
  <c r="E4" i="10"/>
</calcChain>
</file>

<file path=xl/comments1.xml><?xml version="1.0" encoding="utf-8"?>
<comments xmlns="http://schemas.openxmlformats.org/spreadsheetml/2006/main">
  <authors>
    <author>Stephanie Scullion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<sst xmlns="http://schemas.openxmlformats.org/spreadsheetml/2006/main" count="4981" uniqueCount="1842">
  <si>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</si>
  <si>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</si>
  <si>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</si>
  <si>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</si>
  <si>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</si>
  <si>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</si>
  <si>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</si>
  <si>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</si>
  <si>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</si>
  <si>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</si>
  <si>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</si>
  <si>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</si>
  <si>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</si>
  <si>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</si>
  <si>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</si>
  <si>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</si>
  <si>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</si>
  <si>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</si>
  <si>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</si>
  <si>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</si>
  <si>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</si>
  <si>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</si>
  <si>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</si>
  <si>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</si>
  <si>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</si>
  <si>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</si>
  <si>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</si>
  <si>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</si>
  <si>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</si>
  <si>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</si>
  <si>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</si>
  <si>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</si>
  <si>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</si>
  <si>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</si>
  <si>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</si>
  <si>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</si>
  <si>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</si>
  <si>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</si>
  <si>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</si>
  <si>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</si>
  <si>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</si>
  <si>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</si>
  <si>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</si>
  <si>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</si>
  <si>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</si>
  <si>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</si>
  <si>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</si>
  <si>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</si>
  <si>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</si>
  <si>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</si>
  <si>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</si>
  <si>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</si>
  <si>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</si>
  <si>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</si>
  <si>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</si>
  <si>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</si>
  <si>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</si>
  <si>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</si>
  <si>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</si>
  <si>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</si>
  <si>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</si>
  <si>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</si>
  <si>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</si>
  <si>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</si>
  <si>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</si>
  <si>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</si>
  <si>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</si>
  <si>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</si>
  <si>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</si>
  <si>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</si>
  <si>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</si>
  <si>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</si>
  <si>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</si>
  <si>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</si>
  <si>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</si>
  <si>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</si>
  <si>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</si>
  <si>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</si>
  <si>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</si>
  <si>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</si>
  <si>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</si>
  <si>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</si>
  <si>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</si>
  <si>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</si>
  <si>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</si>
  <si>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</si>
  <si>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</si>
  <si>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</si>
  <si>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</si>
  <si>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</si>
  <si>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</si>
  <si>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</si>
  <si>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</si>
  <si>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</si>
  <si>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</si>
  <si>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</si>
  <si>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</si>
  <si>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</si>
  <si>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</si>
  <si>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</si>
  <si>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</si>
  <si>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</si>
  <si>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</si>
  <si>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</si>
  <si>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</si>
  <si>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</si>
  <si>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</si>
  <si>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</si>
  <si>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</si>
  <si>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</si>
  <si>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</si>
  <si>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</si>
  <si>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</si>
  <si>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</si>
  <si>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</si>
  <si>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</si>
  <si>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</si>
  <si>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</si>
  <si>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</si>
  <si>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</si>
  <si>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</si>
  <si>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</si>
  <si>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</si>
  <si>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</si>
  <si>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</si>
  <si>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</si>
  <si>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</si>
  <si>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</si>
  <si>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</si>
  <si>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</si>
  <si>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</si>
  <si>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</si>
  <si>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</si>
  <si>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</si>
  <si>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</si>
  <si>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</si>
  <si>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</si>
  <si>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</si>
  <si>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</si>
  <si>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</si>
  <si>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</si>
  <si>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</si>
  <si>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</si>
  <si>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</si>
  <si>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</si>
  <si>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</si>
  <si>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</si>
  <si>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</si>
  <si>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</si>
  <si>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</si>
  <si>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</si>
  <si>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</si>
  <si>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</si>
  <si>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</si>
  <si>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</si>
  <si>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</si>
  <si>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</si>
  <si>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</si>
  <si>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</si>
  <si>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</si>
  <si>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</si>
  <si>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</si>
  <si>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</si>
  <si>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</si>
  <si>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</si>
  <si>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</si>
  <si>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</si>
  <si>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</si>
  <si>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</si>
  <si>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</si>
  <si>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</si>
  <si>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</si>
  <si>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</si>
  <si>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</si>
  <si>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</si>
  <si>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</si>
  <si>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</si>
  <si>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</si>
  <si>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</si>
  <si>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</si>
  <si>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</si>
  <si>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</si>
  <si>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</si>
  <si>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</si>
  <si>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</si>
  <si>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</si>
  <si>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</si>
  <si>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</si>
  <si>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</si>
  <si>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</si>
  <si>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</si>
  <si>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</si>
  <si>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</si>
  <si>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</si>
  <si>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</si>
  <si>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</si>
  <si>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</si>
  <si>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</si>
  <si>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</si>
  <si>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</si>
  <si>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</si>
  <si>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</si>
  <si>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</si>
  <si>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</si>
  <si>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</si>
  <si>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</si>
  <si>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</si>
  <si>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</si>
  <si>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</si>
  <si>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</si>
  <si>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</si>
  <si>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</si>
  <si>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</si>
  <si>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</si>
  <si>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</si>
  <si>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</si>
  <si>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</si>
  <si>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</si>
  <si>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</si>
  <si>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</si>
  <si>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</si>
  <si>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</si>
  <si>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</si>
  <si>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</si>
  <si>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</si>
  <si>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</si>
  <si>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</si>
  <si>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</si>
  <si>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</si>
  <si>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</si>
  <si>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</si>
  <si>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</si>
  <si>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</si>
  <si>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</si>
  <si>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</si>
  <si>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</si>
  <si>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</si>
  <si>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</si>
  <si>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</si>
  <si>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</si>
  <si>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</si>
  <si>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</si>
  <si>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</si>
  <si>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</si>
  <si>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</si>
  <si>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</si>
  <si>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</si>
  <si>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</si>
  <si>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</si>
  <si>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</si>
  <si>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</si>
  <si>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</si>
  <si>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</si>
  <si>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</si>
  <si>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</si>
  <si>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</si>
  <si>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</si>
  <si>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</si>
  <si>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</si>
  <si>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</si>
  <si>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</si>
  <si>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</si>
  <si>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</si>
  <si>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</si>
  <si>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</si>
  <si>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</si>
  <si>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</si>
  <si>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</si>
  <si>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</si>
  <si>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</si>
  <si>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</si>
  <si>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</si>
  <si>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</si>
  <si>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</si>
  <si>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</si>
  <si>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</si>
  <si>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</si>
  <si>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</si>
  <si>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</si>
  <si>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</si>
  <si>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</si>
  <si>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</si>
  <si>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</si>
  <si>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</si>
  <si>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</si>
  <si>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</si>
  <si>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</si>
  <si>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</si>
  <si>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</si>
  <si>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</si>
  <si>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</si>
  <si>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</si>
  <si>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</si>
  <si>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</si>
  <si>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</si>
  <si>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</si>
  <si>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</si>
  <si>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</si>
  <si>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</si>
  <si>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</si>
  <si>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</si>
  <si>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</si>
  <si>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</si>
  <si>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</si>
  <si>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</si>
  <si>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</si>
  <si>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</si>
  <si>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</si>
  <si>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</si>
  <si>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</si>
  <si>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</si>
  <si>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</si>
  <si>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</si>
  <si>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</si>
  <si>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</si>
  <si>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</si>
  <si>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</si>
  <si>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</si>
  <si>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</si>
  <si>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</si>
  <si>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</si>
  <si>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</si>
  <si>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</si>
  <si>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</si>
  <si>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</si>
  <si>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</si>
  <si>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</si>
  <si>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</si>
  <si>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</si>
  <si>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</si>
  <si>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</si>
  <si>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</si>
  <si>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</si>
  <si>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</si>
  <si>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</si>
  <si>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</si>
  <si>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</si>
  <si>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</si>
  <si>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</si>
  <si>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</si>
  <si>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</si>
  <si>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</si>
  <si>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</si>
  <si>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</si>
  <si>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</si>
  <si>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</si>
  <si>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</si>
  <si>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</si>
  <si>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</si>
  <si>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</si>
  <si>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</si>
  <si>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</si>
  <si>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</si>
  <si>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</si>
  <si>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</si>
  <si>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</si>
  <si>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</si>
  <si>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</si>
  <si>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</si>
  <si>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</si>
  <si>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</si>
  <si>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</si>
  <si>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</si>
  <si>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</si>
  <si>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</si>
  <si>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</si>
  <si>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</si>
  <si>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</si>
  <si>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</si>
  <si>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</si>
  <si>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</si>
  <si>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</si>
  <si>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</si>
  <si>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</si>
  <si>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</si>
  <si>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</si>
  <si>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</si>
  <si>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</si>
  <si>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</si>
  <si>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</si>
  <si>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</si>
  <si>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</si>
  <si>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</si>
  <si>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</si>
  <si>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</si>
  <si>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</si>
  <si>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</si>
  <si>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</si>
  <si>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</si>
  <si>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</si>
  <si>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</si>
  <si>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</si>
  <si>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</si>
  <si>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</si>
  <si>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</si>
  <si>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</si>
  <si>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</si>
  <si>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</si>
  <si>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</si>
  <si>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</si>
  <si>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</si>
  <si>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</si>
  <si>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</si>
  <si>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</si>
  <si>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</si>
  <si>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</si>
  <si>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</si>
  <si>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</si>
  <si>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</si>
  <si>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</si>
  <si>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</si>
  <si>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</si>
  <si>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</si>
  <si>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</si>
  <si>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</si>
  <si>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</si>
  <si>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</si>
  <si>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</si>
  <si>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</si>
  <si>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</si>
  <si>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</si>
  <si>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</si>
  <si>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</si>
  <si>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</si>
  <si>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</si>
  <si>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</si>
  <si>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</si>
  <si>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</si>
  <si>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</si>
  <si>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</si>
  <si>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</si>
  <si>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</si>
  <si>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</si>
  <si>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</si>
  <si>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</si>
  <si>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</si>
  <si>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</si>
  <si>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</si>
  <si>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</si>
  <si>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</si>
  <si>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</si>
  <si>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</si>
  <si>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</si>
  <si>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</si>
  <si>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</si>
  <si>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</si>
  <si>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</si>
  <si>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</si>
  <si>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</si>
  <si>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</si>
  <si>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</si>
  <si>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</si>
  <si>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</si>
  <si>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</si>
  <si>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</si>
  <si>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</si>
  <si>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</si>
  <si>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</si>
  <si>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</si>
  <si>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</si>
  <si>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</si>
  <si>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</si>
  <si>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</si>
  <si>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</si>
  <si>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</si>
  <si>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</si>
  <si>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</si>
  <si>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</si>
  <si>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</si>
  <si>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</si>
  <si>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</si>
  <si>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</si>
  <si>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</si>
  <si>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</si>
  <si>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</si>
  <si>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</si>
  <si>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</si>
  <si>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</si>
  <si>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</si>
  <si>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</si>
  <si>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</si>
  <si>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</si>
  <si>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</si>
  <si>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</si>
  <si>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</si>
  <si>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</si>
  <si>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</si>
  <si>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</si>
  <si>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</si>
  <si>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</si>
  <si>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</si>
  <si>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</si>
  <si>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</si>
  <si>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</si>
  <si>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</si>
  <si>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</si>
  <si>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</si>
  <si>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</si>
  <si>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</si>
  <si>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</si>
  <si>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</si>
  <si>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</si>
  <si>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</si>
  <si>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</si>
  <si>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</si>
  <si>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</si>
  <si>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</si>
  <si>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</si>
  <si>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</si>
  <si>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</si>
  <si>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</si>
  <si>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</si>
  <si>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</si>
  <si>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</si>
  <si>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</si>
  <si>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</si>
  <si>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</si>
  <si>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</si>
  <si>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</si>
  <si>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</si>
  <si>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</si>
  <si>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</si>
  <si>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</si>
  <si>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</si>
  <si>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</si>
  <si>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</si>
  <si>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</si>
  <si>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</si>
  <si>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</si>
  <si>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</si>
  <si>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</si>
  <si>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</si>
  <si>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</si>
  <si>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</si>
  <si>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</si>
  <si>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</si>
  <si>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</si>
  <si>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</si>
  <si>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</si>
  <si>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</si>
  <si>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</si>
  <si>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</si>
  <si>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</si>
  <si>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</si>
  <si>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</si>
  <si>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</si>
  <si>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</si>
  <si>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</si>
  <si>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</si>
  <si>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</si>
  <si>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</si>
  <si>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</si>
  <si>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</si>
  <si>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</si>
  <si>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</si>
  <si>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</si>
  <si>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</si>
  <si>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</si>
  <si>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</si>
  <si>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</si>
  <si>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</si>
  <si>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</si>
  <si>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</si>
  <si>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</si>
  <si>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</si>
  <si>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</si>
  <si>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</si>
  <si>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</si>
  <si>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</si>
  <si>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</si>
  <si>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</si>
  <si>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</si>
  <si>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</si>
  <si>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</si>
  <si>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</si>
  <si>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</si>
  <si>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</si>
  <si>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</si>
  <si>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</si>
  <si>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</si>
  <si>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</si>
  <si>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</si>
  <si>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</si>
  <si>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</si>
  <si>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</si>
  <si>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</si>
  <si>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</si>
  <si>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</si>
  <si>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</si>
  <si>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</si>
  <si>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</si>
  <si>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</si>
  <si>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</si>
  <si>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</si>
  <si>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</si>
  <si>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</si>
  <si>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</si>
  <si>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</si>
  <si>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</si>
  <si>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</si>
  <si>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</si>
  <si>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</si>
  <si>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</si>
  <si>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</si>
  <si>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</si>
  <si>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</si>
  <si>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</si>
  <si>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</si>
  <si>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</si>
  <si>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</si>
  <si>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</si>
  <si>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</si>
  <si>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</si>
  <si>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</si>
  <si>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</si>
  <si>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</si>
  <si>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</si>
  <si>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</si>
  <si>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</si>
  <si>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</si>
  <si>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</si>
  <si>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</si>
  <si>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</si>
  <si>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</si>
  <si>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</si>
  <si>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</si>
  <si>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</si>
  <si>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</si>
  <si>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</si>
  <si>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</si>
  <si>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</si>
  <si>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</si>
  <si>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</si>
  <si>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</si>
  <si>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</si>
  <si>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</si>
  <si>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</si>
  <si>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</si>
  <si>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</si>
  <si>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</si>
  <si>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</si>
  <si>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</si>
  <si>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</si>
  <si>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</si>
  <si>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</si>
  <si>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</si>
  <si>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</si>
  <si>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</si>
  <si>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</si>
  <si>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</si>
  <si>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</si>
  <si>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</si>
  <si>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</si>
  <si>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</si>
  <si>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</si>
  <si>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</si>
  <si>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</si>
  <si>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</si>
  <si>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</si>
  <si>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</si>
  <si>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</si>
  <si>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</si>
  <si>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</si>
  <si>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</si>
  <si>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</si>
  <si>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</si>
  <si>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</si>
  <si>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</si>
  <si>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</si>
  <si>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</si>
  <si>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</si>
  <si>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</si>
  <si>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</si>
  <si>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</si>
  <si>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</si>
  <si>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</si>
  <si>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</si>
  <si>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</si>
  <si>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</si>
  <si>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</si>
  <si>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</si>
  <si>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</si>
  <si>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</si>
  <si>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</si>
  <si>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</si>
  <si>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</si>
  <si>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</si>
  <si>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</si>
  <si>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</si>
  <si>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</si>
  <si>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</si>
  <si>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</si>
  <si>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</si>
  <si>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</si>
  <si>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</si>
  <si>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</si>
  <si>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</si>
  <si>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</si>
  <si>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</si>
  <si>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</si>
  <si>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</si>
  <si>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</si>
  <si>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</si>
  <si>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</si>
  <si>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</si>
  <si>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</si>
  <si>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</si>
  <si>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</si>
  <si>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</si>
  <si>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</si>
  <si>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</si>
  <si>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</si>
  <si>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</si>
  <si>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</si>
  <si>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</si>
  <si>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</si>
  <si>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</si>
  <si>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</si>
  <si>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</si>
  <si>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</si>
  <si>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</si>
  <si>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</si>
  <si>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</si>
  <si>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</si>
  <si>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</si>
  <si>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</si>
  <si>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</si>
  <si>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</si>
  <si>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</si>
  <si>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</si>
  <si>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</si>
  <si>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</si>
  <si>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</si>
  <si>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</si>
  <si>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</si>
  <si>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</si>
  <si>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</si>
  <si>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</si>
  <si>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</si>
  <si>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</si>
  <si>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</si>
  <si>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</si>
  <si>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</si>
  <si>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</si>
  <si>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</si>
  <si>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</si>
  <si>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</si>
  <si>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</si>
  <si>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</si>
  <si>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</si>
  <si>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</si>
  <si>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</si>
  <si>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</si>
  <si>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</si>
  <si>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</si>
  <si>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</si>
  <si>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</si>
  <si>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</si>
  <si>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</si>
  <si>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</si>
  <si>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</si>
  <si>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</si>
  <si>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</si>
  <si>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</si>
  <si>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</si>
  <si>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</si>
  <si>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</si>
  <si>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</si>
  <si>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</si>
  <si>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</si>
  <si>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</si>
  <si>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</si>
  <si>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</si>
  <si>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</si>
  <si>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</si>
  <si>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</si>
  <si>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</si>
  <si>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</si>
  <si>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</si>
  <si>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</si>
  <si>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</si>
  <si>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</si>
  <si>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</si>
  <si>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</si>
  <si>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</si>
  <si>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</si>
  <si>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</si>
  <si>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</si>
  <si>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</si>
  <si>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</si>
  <si>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</si>
  <si>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</si>
  <si>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</si>
  <si>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</si>
  <si>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</si>
  <si>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</si>
  <si>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</si>
  <si>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</si>
  <si>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</si>
  <si>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</si>
  <si>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</si>
  <si>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</si>
  <si>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</si>
  <si>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</si>
  <si>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</si>
  <si>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</si>
  <si>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</si>
  <si>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</si>
  <si>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</si>
  <si>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</si>
  <si>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</si>
  <si>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</si>
  <si>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</si>
  <si>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</si>
  <si>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</si>
  <si>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</si>
  <si>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</si>
  <si>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</si>
  <si>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</si>
  <si>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</si>
  <si>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</si>
  <si>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</si>
  <si>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</si>
  <si>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</si>
  <si>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</si>
  <si>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</si>
  <si>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</si>
  <si>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</si>
  <si>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</si>
  <si>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</si>
  <si>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</si>
  <si>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</si>
  <si>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</si>
  <si>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</si>
  <si>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</si>
  <si>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</si>
  <si>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</si>
  <si>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</si>
  <si>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</si>
  <si>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</si>
  <si>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</si>
  <si>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</si>
  <si>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</si>
  <si>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</si>
  <si>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</si>
  <si>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</si>
  <si>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</si>
  <si>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</si>
  <si>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</si>
  <si>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</si>
  <si>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</si>
  <si>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</si>
  <si>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</si>
  <si>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</si>
  <si>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</si>
  <si>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</si>
  <si>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</si>
  <si>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</si>
  <si>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</si>
  <si>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</si>
  <si>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</si>
  <si>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</si>
  <si>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</si>
  <si>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</si>
  <si>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</si>
  <si>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</si>
  <si>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</si>
  <si>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</si>
  <si>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</si>
  <si>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</si>
  <si>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</si>
  <si>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</si>
  <si>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</si>
  <si>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</si>
  <si>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</si>
  <si>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</si>
  <si>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</si>
  <si>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</si>
  <si>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</si>
  <si>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</si>
  <si>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</si>
  <si>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</si>
  <si>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</si>
  <si>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</si>
  <si>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</si>
  <si>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</si>
  <si>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</si>
  <si>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</si>
  <si>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</si>
  <si>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</si>
  <si>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</si>
  <si>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</si>
  <si>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</si>
  <si>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</si>
  <si>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</si>
  <si>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</si>
  <si>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</si>
  <si>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</si>
  <si>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</si>
  <si>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</si>
  <si>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</si>
  <si>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</si>
  <si>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</si>
  <si>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</si>
  <si>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</si>
  <si>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</si>
  <si>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</si>
  <si>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</si>
  <si>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</si>
  <si>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</si>
  <si>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</si>
  <si>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</si>
  <si>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</si>
  <si>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</si>
  <si>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</si>
  <si>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</si>
  <si>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</si>
  <si>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</si>
  <si>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</si>
  <si>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</si>
  <si>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</si>
  <si>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</si>
  <si>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</si>
  <si>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</si>
  <si>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</si>
  <si>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</si>
  <si>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</si>
  <si>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</si>
  <si>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</si>
  <si>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</si>
  <si>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</si>
  <si>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</si>
  <si>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</si>
  <si>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</si>
  <si>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</si>
  <si>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</si>
  <si>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</si>
  <si>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</si>
  <si>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</si>
  <si>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</si>
  <si>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</si>
  <si>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</si>
  <si>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</si>
  <si>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</si>
  <si>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</si>
  <si>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</si>
  <si>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</si>
  <si>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</si>
  <si>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</si>
  <si>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</si>
  <si>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</si>
  <si>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</si>
  <si>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</si>
  <si>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</si>
  <si>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</si>
  <si>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</si>
  <si>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</si>
  <si>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</si>
  <si>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</si>
  <si>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</si>
  <si>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</si>
  <si>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</si>
  <si>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</si>
  <si>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</si>
  <si>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</si>
  <si>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</si>
  <si>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</si>
  <si>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</si>
  <si>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</si>
  <si>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</si>
  <si>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</si>
  <si>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</si>
  <si>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</si>
  <si>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</si>
  <si>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</si>
  <si>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</si>
  <si>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</si>
  <si>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</si>
  <si>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</si>
  <si>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</si>
  <si>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</si>
  <si>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</si>
  <si>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</si>
  <si>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</si>
  <si>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</si>
  <si>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</si>
  <si>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</si>
  <si>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</si>
  <si>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</si>
  <si>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</si>
  <si>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</si>
  <si>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</si>
  <si>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</si>
  <si>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</si>
  <si>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</si>
  <si>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</si>
  <si>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</si>
  <si>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</si>
  <si>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</si>
  <si>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</si>
  <si>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</si>
  <si>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</si>
  <si>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</si>
  <si>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</si>
  <si>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</si>
  <si>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</si>
  <si>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</si>
  <si>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</si>
  <si>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</si>
  <si>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</si>
  <si>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</si>
  <si>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</si>
  <si>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</si>
  <si>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</si>
  <si>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</si>
  <si>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</si>
  <si>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</si>
  <si>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</si>
  <si>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</si>
  <si>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</si>
  <si>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</si>
  <si>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</si>
  <si>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</si>
  <si>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</si>
  <si>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</si>
  <si>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</si>
  <si>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</si>
  <si>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</si>
  <si>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</si>
  <si>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</si>
  <si>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</si>
  <si>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</si>
  <si>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</si>
  <si>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</si>
  <si>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</si>
  <si>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</si>
  <si>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</si>
  <si>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</si>
  <si>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</si>
  <si>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</si>
  <si>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</si>
  <si>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</si>
  <si>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</si>
  <si>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</si>
  <si>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</si>
  <si>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</si>
  <si>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</si>
  <si>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</si>
  <si>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</si>
  <si>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</si>
  <si>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</si>
  <si>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</si>
  <si>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</si>
  <si>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</si>
  <si>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</si>
  <si>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</si>
  <si>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</si>
  <si>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</si>
  <si>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</si>
  <si>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</si>
  <si>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</si>
  <si>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</si>
  <si>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</si>
  <si>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</si>
  <si>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</si>
  <si>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</si>
  <si>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</si>
  <si>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</si>
  <si>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</si>
  <si>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</si>
  <si>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</si>
  <si>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</si>
  <si>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</si>
  <si>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</si>
  <si>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</si>
  <si>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</si>
  <si>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</si>
  <si>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</si>
  <si>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</si>
  <si>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</si>
  <si>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</si>
  <si>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</si>
  <si>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</si>
  <si>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</si>
  <si>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</si>
  <si>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</si>
  <si>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</si>
  <si>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</si>
  <si>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</si>
  <si>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</si>
  <si>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</si>
  <si>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</si>
  <si>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</si>
  <si>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</si>
  <si>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</si>
  <si>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</si>
  <si>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</si>
  <si>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</si>
  <si>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</si>
  <si>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</si>
  <si>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</si>
  <si>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</si>
  <si>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</si>
  <si>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</si>
  <si>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</si>
  <si>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</si>
  <si>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</si>
  <si>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</si>
  <si>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</si>
  <si>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</si>
  <si>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</si>
  <si>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</si>
  <si>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</si>
  <si>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</si>
  <si>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</si>
  <si>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</si>
  <si>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</si>
  <si>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</si>
  <si>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</si>
  <si>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</si>
  <si>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</si>
  <si>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</si>
  <si>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</si>
  <si>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</si>
  <si>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</si>
  <si>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</si>
  <si>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</si>
  <si>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</si>
  <si>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</si>
  <si>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</si>
  <si>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</si>
  <si>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</si>
  <si>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</si>
  <si>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</si>
  <si>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</si>
  <si>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</si>
  <si>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</si>
  <si>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</si>
  <si>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</si>
  <si>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</si>
  <si>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</si>
  <si>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</si>
  <si>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</si>
  <si>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</si>
  <si>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</si>
  <si>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</si>
  <si>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</si>
  <si>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</si>
  <si>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</si>
  <si>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</si>
  <si>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</si>
  <si>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</si>
  <si>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</si>
  <si>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</si>
  <si>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</si>
  <si>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</si>
  <si>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</si>
  <si>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</si>
  <si>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</si>
  <si>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</si>
  <si>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</si>
  <si>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</si>
  <si>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</si>
  <si>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</si>
  <si>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</si>
  <si>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</si>
  <si>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</si>
  <si>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</si>
  <si>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</si>
  <si>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</si>
  <si>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</si>
  <si>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</si>
  <si>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</si>
  <si>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</si>
  <si>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</si>
  <si>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</si>
  <si>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</si>
  <si>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</si>
  <si>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</si>
  <si>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</si>
  <si>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</si>
  <si>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</si>
  <si>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</si>
  <si>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</si>
  <si>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</si>
  <si>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</si>
  <si>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</si>
  <si>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</si>
  <si>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</si>
  <si>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</si>
  <si>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</si>
  <si>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</si>
  <si>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</si>
  <si>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</si>
  <si>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</si>
  <si>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</si>
  <si>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</si>
  <si>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</si>
  <si>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</si>
  <si>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</si>
  <si>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</si>
  <si>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</si>
  <si>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</si>
  <si>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</si>
  <si>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</si>
  <si>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</si>
  <si>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</si>
  <si>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</si>
  <si>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</si>
  <si>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</si>
  <si>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</si>
  <si>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</si>
  <si>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</si>
  <si>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</si>
  <si>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</si>
  <si>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</si>
  <si>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</si>
  <si>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</si>
  <si>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</si>
  <si>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</si>
  <si>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</si>
  <si>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</si>
  <si>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</si>
  <si>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</si>
  <si>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</si>
  <si>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</si>
  <si>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</si>
  <si>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</si>
  <si>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</si>
  <si>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</si>
  <si>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</si>
  <si>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</si>
  <si>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</si>
  <si>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</si>
  <si>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</si>
  <si>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</si>
  <si>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</si>
  <si>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</si>
  <si>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</si>
  <si>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</si>
  <si>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</si>
  <si>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</si>
  <si>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</si>
  <si>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</si>
  <si>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</si>
  <si>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</si>
  <si>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</si>
  <si>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</si>
  <si>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</si>
  <si>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</si>
  <si>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</si>
  <si>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</si>
  <si>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</si>
  <si>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</si>
  <si>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</si>
  <si>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</si>
  <si>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</si>
  <si>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</si>
  <si>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</si>
  <si>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</si>
  <si>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</si>
  <si>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</si>
  <si>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</si>
  <si>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</si>
  <si>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</si>
  <si>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</si>
  <si>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</si>
  <si>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</si>
  <si>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</si>
  <si>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</si>
  <si>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</si>
  <si>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</si>
  <si>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</si>
  <si>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</si>
  <si>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</si>
  <si>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</si>
  <si>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</si>
  <si>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</si>
  <si>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</si>
  <si>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</si>
  <si>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</si>
  <si>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</si>
  <si>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</si>
  <si>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</si>
  <si>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</si>
  <si>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</si>
  <si>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</si>
  <si>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</si>
  <si>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</si>
  <si>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</si>
  <si>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</si>
  <si>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</si>
  <si>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</si>
  <si>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</si>
  <si>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</si>
  <si>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</si>
  <si>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</si>
  <si>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</si>
  <si>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</si>
  <si>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</si>
  <si>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</si>
  <si>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</si>
  <si>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</si>
  <si>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</si>
  <si>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</si>
  <si>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</si>
  <si>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</si>
  <si>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</si>
  <si>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</si>
  <si>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</si>
  <si>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</si>
  <si>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</si>
  <si>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</si>
  <si>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</si>
  <si>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</si>
  <si>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</si>
  <si>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</si>
  <si>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</si>
  <si>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</si>
  <si>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</si>
  <si>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</si>
  <si>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</si>
  <si>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</si>
  <si>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</si>
  <si>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</si>
  <si>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</si>
  <si>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</si>
  <si>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</si>
  <si>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</si>
  <si>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</si>
  <si>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</si>
  <si>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</si>
  <si>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</si>
  <si>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</si>
  <si>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</si>
  <si>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</si>
  <si>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</si>
  <si>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</si>
  <si>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</si>
  <si>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</si>
  <si>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</si>
  <si>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</si>
  <si>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</si>
  <si>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</si>
  <si>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</si>
  <si>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</si>
  <si>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</si>
  <si>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</si>
  <si>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</si>
  <si>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</si>
  <si>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</si>
  <si>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</si>
  <si>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</si>
  <si>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</si>
  <si>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</si>
  <si>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</si>
  <si>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</si>
  <si>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</si>
  <si>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</si>
  <si>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</si>
  <si>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</si>
  <si>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</si>
  <si>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</si>
  <si>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</si>
  <si>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</si>
  <si>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</si>
  <si>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</si>
  <si>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</si>
  <si>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</si>
  <si>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</si>
  <si>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</si>
  <si>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</si>
  <si>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</si>
  <si>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</si>
  <si>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</si>
  <si>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</si>
  <si>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</si>
  <si>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</si>
  <si>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</si>
  <si>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</si>
  <si>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</si>
  <si>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</si>
  <si>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</si>
  <si>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</si>
  <si>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</si>
  <si>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</si>
  <si>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</si>
  <si>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</si>
  <si>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</si>
  <si>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</si>
  <si>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</si>
  <si>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</si>
  <si>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</si>
  <si>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</si>
  <si>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</si>
  <si>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</si>
  <si>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</si>
  <si>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</si>
  <si>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</si>
  <si>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</si>
  <si>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</si>
  <si>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</si>
  <si>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</si>
  <si>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</si>
  <si>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</si>
  <si>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</si>
  <si>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</si>
  <si>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</si>
  <si>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</si>
  <si>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</si>
  <si>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</si>
  <si>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</si>
  <si>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</si>
  <si>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</si>
  <si>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</si>
  <si>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</si>
  <si>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</si>
  <si>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</si>
  <si>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</si>
  <si>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</si>
  <si>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</si>
  <si>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</si>
  <si>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</si>
  <si>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</si>
  <si>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</si>
  <si>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</si>
  <si>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</si>
  <si>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</si>
  <si>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</si>
  <si>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</si>
  <si>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</si>
  <si>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</si>
  <si>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</si>
  <si>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</si>
  <si>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</si>
  <si>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</si>
  <si>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</si>
  <si>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</si>
  <si>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</si>
  <si>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</si>
  <si>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</si>
  <si>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</si>
  <si>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</si>
  <si>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</si>
  <si>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</si>
  <si>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</si>
  <si>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</si>
  <si>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</si>
  <si>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</si>
  <si>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</si>
  <si>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</si>
  <si>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</si>
  <si>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</si>
  <si>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</si>
  <si>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</si>
  <si>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</si>
  <si>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</si>
  <si>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</si>
  <si>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</si>
  <si>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</si>
  <si>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</si>
  <si>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</si>
  <si>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</si>
  <si>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</si>
  <si>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</si>
  <si>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</si>
  <si>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</si>
  <si>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</si>
  <si>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</si>
  <si>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</si>
  <si>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</si>
  <si>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</si>
  <si>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</si>
  <si>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</si>
  <si>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</si>
  <si>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</si>
  <si>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</si>
  <si>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</si>
  <si>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</si>
  <si>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</si>
  <si>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</si>
  <si>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</si>
  <si>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</si>
  <si>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</si>
  <si>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</si>
  <si>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</si>
  <si>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</si>
  <si>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</si>
  <si>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</si>
  <si>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</si>
  <si>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</si>
  <si>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</si>
  <si>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</si>
  <si>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</si>
  <si>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</si>
  <si>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</si>
  <si>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</si>
  <si>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</si>
  <si>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</si>
  <si>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</si>
  <si>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</si>
  <si>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</si>
  <si>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</si>
  <si>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</si>
  <si>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</si>
  <si>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</si>
  <si>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</si>
  <si>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</si>
  <si>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</si>
  <si>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</si>
  <si>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</si>
  <si>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</si>
  <si>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</si>
  <si>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</si>
  <si>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</si>
  <si>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</si>
  <si>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</si>
  <si>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</si>
  <si>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</si>
  <si>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</si>
  <si>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</si>
  <si>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</si>
  <si>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</si>
  <si>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</si>
  <si>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</si>
  <si>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</si>
  <si>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</si>
  <si>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</si>
  <si>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</si>
  <si>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</si>
  <si>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</si>
  <si>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</si>
  <si>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</si>
  <si>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</si>
  <si>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</si>
  <si>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</si>
  <si>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</si>
  <si>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</si>
  <si>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</si>
  <si>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</si>
  <si>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</si>
  <si>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</si>
  <si>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</si>
  <si>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</si>
  <si>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</si>
  <si>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</si>
  <si>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</si>
  <si>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</si>
  <si>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</si>
  <si>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</si>
  <si>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</si>
  <si>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</si>
  <si>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</si>
  <si>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</si>
  <si>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</si>
  <si>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</si>
  <si>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</si>
  <si>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</si>
  <si>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</si>
  <si>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</si>
  <si>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</si>
  <si>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</si>
  <si>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</si>
  <si>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</si>
  <si>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</si>
  <si>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</si>
  <si>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</si>
  <si>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</si>
  <si>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</si>
  <si>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</si>
  <si>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</si>
  <si>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</si>
  <si>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</si>
  <si>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</si>
  <si>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</si>
  <si>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</si>
  <si>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</si>
  <si>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</si>
  <si>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</si>
  <si>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</si>
  <si>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</si>
  <si>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</si>
  <si>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</si>
  <si>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</si>
  <si>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</si>
  <si>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</si>
  <si>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</si>
  <si>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</si>
  <si>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</si>
  <si>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</si>
  <si>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</si>
  <si>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</si>
  <si>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</si>
  <si>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</si>
  <si>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</si>
  <si>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</si>
  <si>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</si>
  <si>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</si>
  <si>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</si>
  <si>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</si>
  <si>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</si>
  <si>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</si>
  <si>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</si>
  <si>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</si>
  <si>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</si>
  <si>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</si>
  <si>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</si>
  <si>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</si>
  <si>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</si>
  <si>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</si>
  <si>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</si>
  <si>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</si>
  <si>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</si>
  <si>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</si>
  <si>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</si>
  <si>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</si>
  <si>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</si>
  <si>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</si>
  <si>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</si>
  <si>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</si>
  <si>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</si>
  <si>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</si>
  <si>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</si>
  <si>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</si>
  <si>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</si>
  <si>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</si>
  <si>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</si>
  <si>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</si>
  <si>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</si>
  <si>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</si>
  <si>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</si>
  <si>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</si>
  <si>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</si>
  <si>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</si>
  <si>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</si>
  <si>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</si>
  <si>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</si>
  <si>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</si>
  <si>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</si>
  <si>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</si>
  <si>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</si>
  <si>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</si>
  <si>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</si>
  <si>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</si>
  <si>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</si>
  <si>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</si>
  <si>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</si>
  <si>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</si>
  <si>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</si>
  <si>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</si>
  <si>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</si>
  <si>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</si>
  <si>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</si>
  <si>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</si>
  <si>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</si>
  <si>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</si>
  <si>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</si>
  <si>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</si>
  <si>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</si>
  <si>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</si>
  <si>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</si>
  <si>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</si>
  <si>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</si>
  <si>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</si>
  <si>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</si>
  <si>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</si>
  <si>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</si>
  <si>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</si>
  <si>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</si>
  <si>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</si>
  <si>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</si>
  <si>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</si>
  <si>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</si>
  <si>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</si>
  <si>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</si>
  <si>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</si>
  <si>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</si>
  <si>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</si>
  <si>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</si>
  <si>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</si>
  <si>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</si>
  <si>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</si>
  <si>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</si>
  <si>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</si>
  <si>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</si>
  <si>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</si>
  <si>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</si>
  <si>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</si>
  <si>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</si>
  <si>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</si>
  <si>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</si>
  <si>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</si>
  <si>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</si>
  <si>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</si>
  <si>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</si>
  <si>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</si>
  <si>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</si>
  <si>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</si>
  <si>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</si>
  <si>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</si>
  <si>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</si>
  <si>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</si>
  <si>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</si>
  <si>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</si>
  <si>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</si>
  <si>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</si>
  <si>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</si>
  <si>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</si>
  <si>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</si>
  <si>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</si>
  <si>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</si>
  <si>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</si>
  <si>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</si>
  <si>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</si>
  <si>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</si>
  <si>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</si>
  <si>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</si>
  <si>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</si>
  <si>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</si>
  <si>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</si>
  <si>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</si>
  <si>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</si>
  <si>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</si>
  <si>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</si>
  <si>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</si>
  <si>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</si>
  <si>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</si>
  <si>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</si>
  <si>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</si>
  <si>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</si>
  <si>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</si>
  <si>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</si>
  <si>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</si>
  <si>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</si>
  <si>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</si>
  <si>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</si>
  <si>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</si>
  <si>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</si>
  <si>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</si>
  <si>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</si>
  <si>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</si>
  <si>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</si>
  <si>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</si>
  <si>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</si>
  <si>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</si>
  <si>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</si>
  <si>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</si>
  <si>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</si>
  <si>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</si>
  <si>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</si>
  <si>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</si>
  <si>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</si>
  <si>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</si>
  <si>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</si>
  <si>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</si>
  <si>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</si>
  <si>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</si>
  <si>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</si>
  <si>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</si>
  <si>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</si>
  <si>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</si>
  <si>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</si>
  <si>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</si>
  <si>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</si>
  <si>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</si>
  <si>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</si>
  <si>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</si>
  <si>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</si>
  <si>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</si>
  <si>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</si>
  <si>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</si>
  <si>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</si>
  <si>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</si>
  <si>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</si>
  <si>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</si>
  <si>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</si>
  <si>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</si>
  <si>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</si>
  <si>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</si>
  <si>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</si>
  <si>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</si>
  <si>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</si>
  <si>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</si>
  <si>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</si>
  <si>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</si>
  <si>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</si>
  <si>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</si>
  <si>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</si>
  <si>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</si>
  <si>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</si>
  <si>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</si>
  <si>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</si>
  <si>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</si>
  <si>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</si>
  <si>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</si>
  <si>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</si>
  <si>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</si>
  <si>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</si>
  <si>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</si>
  <si>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</si>
  <si>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</si>
  <si>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</si>
  <si>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</si>
  <si>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</si>
  <si>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</si>
  <si>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</si>
  <si>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</si>
  <si>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</si>
  <si>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</si>
  <si>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</si>
  <si>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</si>
  <si>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</si>
  <si>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G:\EX Area\Manufacturing Archives\Components</t>
  </si>
  <si>
    <t>G:\EX Area\Manufacturing Archives\Products</t>
  </si>
  <si>
    <t>G:\EX Area\Manufacturing Archives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</si>
  <si>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</si>
  <si>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</si>
  <si>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</si>
  <si>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</si>
  <si>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</si>
  <si>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</si>
  <si>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</si>
  <si>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</si>
  <si>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Meeting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</si>
  <si>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</si>
  <si>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</si>
  <si>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</si>
  <si>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</si>
  <si>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</si>
  <si>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Bash - PON number now can only take digits, any char or symbols cannot be entered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</si>
  <si>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</si>
  <si>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</si>
  <si>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</si>
  <si>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</si>
  <si>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 xml:space="preserve"> ElseIf IsEmpty(TestRange(i)) Then ActiveSheet.ListObjects("Membranes").ListRows(i - 1).Delete</t>
  </si>
  <si>
    <t>QZ/834112/1119/AB</t>
  </si>
  <si>
    <t xml:space="preserve">When entering the build of VAP01, it asks for the delivery date, but it should be the build date. </t>
  </si>
  <si>
    <t>VA0001</t>
  </si>
  <si>
    <t>VAP01 assembly ID, should just click to open folder, but a drop down list is offered, if you click on that then it is not intuitive, get rid of drop down list</t>
  </si>
  <si>
    <t>0289</t>
  </si>
  <si>
    <t>0286</t>
  </si>
  <si>
    <t>0372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</si>
</sst>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m/d/yyyy"/>
    <numFmt numFmtId="166" formatCode="dd\ mmm\ yyyy"/>
    <numFmt numFmtId="167" formatCode="[$-809]dd\ mmmm\ yyyy;@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rgb="FF6666FF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46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4" borderId="0" xfId="2"/>
    <xf numFmtId="0" fontId="24" fillId="24" borderId="0" xfId="2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 vertical="top"/>
    </xf>
    <xf numFmtId="166" fontId="0" fillId="20" borderId="0" xfId="0" applyNumberFormat="1" applyFill="1"/>
    <xf numFmtId="14" fontId="0" fillId="26" borderId="0" xfId="0" applyNumberFormat="1" applyFill="1" applyProtection="1"/>
    <xf numFmtId="0" fontId="0" fillId="26" borderId="0" xfId="0" applyFill="1" applyProtection="1"/>
    <xf numFmtId="166" fontId="0" fillId="20" borderId="0" xfId="0" applyNumberFormat="1" applyFill="1" applyProtection="1">
      <protection locked="0"/>
    </xf>
    <xf numFmtId="0" fontId="23" fillId="27" borderId="0" xfId="3" applyFill="1"/>
    <xf numFmtId="0" fontId="24" fillId="27" borderId="0" xfId="3" applyFont="1" applyFill="1" applyAlignment="1">
      <alignment horizontal="right"/>
    </xf>
    <xf numFmtId="0" fontId="24" fillId="27" borderId="0" xfId="3" applyFont="1" applyFill="1"/>
    <xf numFmtId="164" fontId="1" fillId="27" borderId="0" xfId="0" applyNumberFormat="1" applyFont="1" applyFill="1"/>
    <xf numFmtId="0" fontId="1" fillId="27" borderId="0" xfId="0" applyFont="1" applyFill="1"/>
    <xf numFmtId="0" fontId="0" fillId="27" borderId="0" xfId="0" applyFill="1"/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6" borderId="0" xfId="0" applyNumberFormat="1" applyFill="1" applyProtection="1"/>
    <xf numFmtId="0" fontId="0" fillId="26" borderId="0" xfId="0" applyNumberFormat="1" applyFill="1" applyProtection="1"/>
    <xf numFmtId="166" fontId="0" fillId="20" borderId="0" xfId="0" applyNumberFormat="1" applyFill="1" applyProtection="1"/>
    <xf numFmtId="166" fontId="0" fillId="21" borderId="0" xfId="0" applyNumberFormat="1" applyFill="1" applyProtection="1"/>
    <xf numFmtId="14" fontId="0" fillId="0" borderId="0" xfId="0" applyNumberFormat="1" applyFill="1" applyProtection="1"/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20" borderId="0" xfId="0" applyNumberFormat="1" applyFont="1" applyFill="1" applyProtection="1"/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86"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133350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527050</xdr:colOff>
          <xdr:row>0</xdr:row>
          <xdr:rowOff>107950</xdr:rowOff>
        </xdr:from>
        <xdr:to>
          <xdr:col>12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450850</xdr:colOff>
          <xdr:row>0</xdr:row>
          <xdr:rowOff>76200</xdr:rowOff>
        </xdr:from>
        <xdr:to>
          <xdr:col>22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342900</xdr:colOff>
          <xdr:row>0</xdr:row>
          <xdr:rowOff>31750</xdr:rowOff>
        </xdr:from>
        <xdr:to>
          <xdr:col>35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704850</xdr:colOff>
          <xdr:row>0</xdr:row>
          <xdr:rowOff>76200</xdr:rowOff>
        </xdr:from>
        <xdr:to>
          <xdr:col>33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247650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400050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361950</xdr:colOff>
          <xdr:row>0</xdr:row>
          <xdr:rowOff>361950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95250</xdr:rowOff>
        </xdr:from>
        <xdr:to>
          <xdr:col>23</xdr:col>
          <xdr:colOff>679450</xdr:colOff>
          <xdr:row>0</xdr:row>
          <xdr:rowOff>361950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400050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247650</xdr:rowOff>
        </xdr:from>
        <xdr:to>
          <xdr:col>45</xdr:col>
          <xdr:colOff>285750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412750</xdr:colOff>
          <xdr:row>0</xdr:row>
          <xdr:rowOff>95250</xdr:rowOff>
        </xdr:from>
        <xdr:to>
          <xdr:col>23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228600</xdr:colOff>
          <xdr:row>0</xdr:row>
          <xdr:rowOff>107950</xdr:rowOff>
        </xdr:from>
        <xdr:to>
          <xdr:col>37</xdr:col>
          <xdr:colOff>146050</xdr:colOff>
          <xdr:row>1</xdr:row>
          <xdr:rowOff>133350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76200</xdr:rowOff>
        </xdr:from>
        <xdr:to>
          <xdr:col>32</xdr:col>
          <xdr:colOff>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J10" totalsRowShown="0" headerRowDxfId="185" dataDxfId="184" tableBorderDxfId="183">
  <autoFilter ref="A3:J10"/>
  <tableColumns count="10">
    <tableColumn id="1" name="Date Delivered" dataDxfId="182"/>
    <tableColumn id="2" name="PSC Vodec Purchase Order Number" dataDxfId="181"/>
    <tableColumn id="9" name="Type" dataDxfId="180"/>
    <tableColumn id="3" name="Sub-contractor Serial Number" dataDxfId="179"/>
    <tableColumn id="4" name="Assigned" dataDxfId="178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77"/>
    <tableColumn id="6" name="QAI0005" dataDxfId="176"/>
    <tableColumn id="7" name="TP0054" dataDxfId="175"/>
    <tableColumn id="10" name="Availability VAP100A" dataDxfId="174">
      <calculatedColumnFormula>IF(VAP100AE[[#This Row],[Type]]="VAP100A",IF(VAP100AE[[#This Row],[TP0054]]="PASS",IF(E4=0,IF(E4="","",D4),""),""),"")</calculatedColumnFormula>
    </tableColumn>
    <tableColumn id="8" name="Availability VAP100E" dataDxfId="173">
      <calculatedColumnFormula>IF(VAP100AE[[#This Row],[Type]]="VAP100E",IF(VAP100AE[[#This Row],[TP0054]]="PASS",IF(E4=0,IF(E4="","",D4),""),""),"")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K3:T7" totalsRowShown="0" headerRowDxfId="172" dataDxfId="171">
  <autoFilter ref="K3:T7"/>
  <tableColumns count="10">
    <tableColumn id="1" name="Date" dataDxfId="170"/>
    <tableColumn id="2" name="PSC PO No" dataDxfId="169"/>
    <tableColumn id="3" name="Type" dataDxfId="168"/>
    <tableColumn id="4" name="Sub-contractor SN" dataDxfId="167"/>
    <tableColumn id="5" name="Assigned" dataDxfId="166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65"/>
    <tableColumn id="7" name="QAI0006" dataDxfId="164"/>
    <tableColumn id="10" name="TP0095" dataDxfId="163"/>
    <tableColumn id="9" name="Availability DX3MC16" dataDxfId="162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61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U3:AH4" totalsRowShown="0" headerRowDxfId="160" dataDxfId="159">
  <autoFilter ref="U3:AH4"/>
  <tableColumns count="14">
    <tableColumn id="1" name="ID" dataDxfId="158"/>
    <tableColumn id="2" name="Date" dataDxfId="157"/>
    <tableColumn id="3" name="Type" dataDxfId="156"/>
    <tableColumn id="4" name="Membrane SN" dataDxfId="155"/>
    <tableColumn id="5" name="VAP100 SN 1" dataDxfId="154"/>
    <tableColumn id="6" name="VAP100 SN 2" dataDxfId="153"/>
    <tableColumn id="7" name="TP0094/96" dataDxfId="152"/>
    <tableColumn id="8" name="QAI0008/9" dataDxfId="151"/>
    <tableColumn id="9" name="Assigned" dataDxfId="150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49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48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47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46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45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I3:AT4" totalsRowShown="0" headerRowDxfId="144" dataDxfId="142" headerRowBorderDxfId="143">
  <autoFilter ref="AI3:AT4"/>
  <tableColumns count="12">
    <tableColumn id="1" name="PSC Vodec Serial Number" dataDxfId="141"/>
    <tableColumn id="11" name="Panel Type" dataDxfId="140"/>
    <tableColumn id="12" name="ATEX/IECEx?" dataDxfId="139"/>
    <tableColumn id="2" name="ID/SN" dataDxfId="138"/>
    <tableColumn id="3" name="W/O " dataDxfId="137"/>
    <tableColumn id="4" name="Project Name" dataDxfId="136"/>
    <tableColumn id="5" name="Sales Office" dataDxfId="135"/>
    <tableColumn id="6" name="Despatch Date" dataDxfId="134"/>
    <tableColumn id="7" name="Outwards Documentation" dataDxfId="133"/>
    <tableColumn id="8" name="NCR # (if applicable)" dataDxfId="132"/>
    <tableColumn id="9" name="RMA # (if applicable)" dataDxfId="131"/>
    <tableColumn id="10" name="Comment/Fault or Recall" dataDxfId="1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29" dataDxfId="127" headerRowBorderDxfId="128" tableBorderDxfId="126">
  <autoFilter ref="A3:H9"/>
  <tableColumns count="8">
    <tableColumn id="1" name="Date Delivered" dataDxfId="125"/>
    <tableColumn id="2" name="Bartec Vodec Purchase Order Number" dataDxfId="124"/>
    <tableColumn id="3" name="Sub-contractor Serial Number" dataDxfId="123"/>
    <tableColumn id="8" name="Assigned" dataDxfId="122">
      <calculatedColumnFormula>IF(AND(COUNTIF('VB3'!$AM$4:$AM$4,C4)=1,VB3_PCB[[#This Row],[QAI0001]]="PASS",VB3_PCB[[#This Row],[TP0066]]="PASS"),1,0)</calculatedColumnFormula>
    </tableColumn>
    <tableColumn id="4" name="Delivery Received &amp; Filed" dataDxfId="121"/>
    <tableColumn id="5" name="QAI0001" dataDxfId="120"/>
    <tableColumn id="6" name="TP0066" dataDxfId="119"/>
    <tableColumn id="7" name="Availability List" dataDxfId="118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17" dataDxfId="115" headerRowBorderDxfId="116" tableBorderDxfId="114">
  <autoFilter ref="I3:O4"/>
  <tableColumns count="7">
    <tableColumn id="1" name="Date Delivered" dataDxfId="113"/>
    <tableColumn id="2" name="Bartec Vodec Purchase Order" dataDxfId="112"/>
    <tableColumn id="3" name="Delivery Received &amp; Filed" dataDxfId="111"/>
    <tableColumn id="6" name="Assigned" dataDxfId="110">
      <calculatedColumnFormula>IF(AND(COUNTIF('VB3'!$AD$4:$AD$4,M4)=1,VB3_Castings[[#This Row],[QAI0002]]="PASS"),1,0)</calculatedColumnFormula>
    </tableColumn>
    <tableColumn id="4" name="Component Serial Number" dataDxfId="109"/>
    <tableColumn id="5" name="QAI0002" dataDxfId="108"/>
    <tableColumn id="7" name="Availability List" dataDxfId="107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06" dataDxfId="104" headerRowBorderDxfId="105" tableBorderDxfId="103">
  <autoFilter ref="P3:V4"/>
  <tableColumns count="7">
    <tableColumn id="1" name="Date Delivered" dataDxfId="102"/>
    <tableColumn id="2" name="Bartec Vodec Purchase Order" dataDxfId="101"/>
    <tableColumn id="3" name="Delivery Received &amp; Filed" dataDxfId="100"/>
    <tableColumn id="6" name="Assigned" dataDxfId="99">
      <calculatedColumnFormula>IF(AND(COUNTIF('VB3'!$AE$4:$AE$4,T4)=1,VB3_Wellglass[[#This Row],[QAI0003]]="PASS"),1,0)</calculatedColumnFormula>
    </tableColumn>
    <tableColumn id="4" name="Component Serial Number" dataDxfId="98"/>
    <tableColumn id="5" name="QAI0003" dataDxfId="97"/>
    <tableColumn id="7" name="Availability List" dataDxfId="96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95" dataDxfId="93" headerRowBorderDxfId="94" tableBorderDxfId="92">
  <autoFilter ref="W3:AI4"/>
  <tableColumns count="13">
    <tableColumn id="1" name="Preassembly ID" dataDxfId="91"/>
    <tableColumn id="12" name="Assigned" dataDxfId="90">
      <calculatedColumnFormula>IF(AND(COUNTIF('VB3'!$AN$4:$AN$4,W4)=1,VB3_Preassembly[[#This Row],[TP0065 Result]]="PASS"),1,0)</calculatedColumnFormula>
    </tableColumn>
    <tableColumn id="11" name="Availability List" dataDxfId="89">
      <calculatedColumnFormula>IF(AI4="PASS",IF(X4=0,IF(X4="","",W4),""),"")</calculatedColumnFormula>
    </tableColumn>
    <tableColumn id="2" name="Stycast Batch Part 1 Serial Number" dataDxfId="88"/>
    <tableColumn id="3" name="Stycast Batch Part 1 Date" dataDxfId="87"/>
    <tableColumn id="4" name="Stycast Batch Part 2 Serial Number" dataDxfId="86"/>
    <tableColumn id="5" name="Stycast Batch Part 2 Date" dataDxfId="85"/>
    <tableColumn id="6" name="Castings Serial Number" dataDxfId="84"/>
    <tableColumn id="7" name="Wellglass Serial Number" dataDxfId="83"/>
    <tableColumn id="8" name="Ambient Temp" dataDxfId="82"/>
    <tableColumn id="9" name="TP0065 Operative" dataDxfId="81"/>
    <tableColumn id="13" name="TP0065 Date" dataDxfId="80"/>
    <tableColumn id="10" name="TP0065 Result" dataDxfId="7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78" dataDxfId="76" headerRowBorderDxfId="77" tableBorderDxfId="75">
  <autoFilter ref="AJ3:AQ4"/>
  <tableColumns count="8">
    <tableColumn id="1" name="Internal ID" dataDxfId="74"/>
    <tableColumn id="7" name="Assigned" dataDxfId="73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72">
      <calculatedColumnFormula>IF(AQ4="PASS",IF(AK4=0,IF(AK4="","",AJ4),""),"")</calculatedColumnFormula>
    </tableColumn>
    <tableColumn id="2" name="PCB Serial Number" dataDxfId="71"/>
    <tableColumn id="3" name="Preassembly ID" dataDxfId="70"/>
    <tableColumn id="8" name="TP0067" dataDxfId="69"/>
    <tableColumn id="4" name="TP0069" dataDxfId="68"/>
    <tableColumn id="5" name="QAI0004" dataDxfId="6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66" tableBorderDxfId="65">
  <autoFilter ref="AR3:BE4"/>
  <tableColumns count="14">
    <tableColumn id="1" name="Bartec Vodec Serial Number" dataDxfId="64"/>
    <tableColumn id="2" name="VB3 Assembly ID" dataDxfId="63"/>
    <tableColumn id="3" name="Voltage" dataDxfId="62"/>
    <tableColumn id="4" name="Colour" dataDxfId="61"/>
    <tableColumn id="5" name="Torquing Up" dataDxfId="60"/>
    <tableColumn id="6" name="QAI0005" dataDxfId="59"/>
    <tableColumn id="7" name="W/O "/>
    <tableColumn id="8" name="Project Name"/>
    <tableColumn id="9" name="Sales Office"/>
    <tableColumn id="10" name="Despatch Date" dataDxfId="58"/>
    <tableColumn id="11" name="Outwards Documentation" dataDxfId="57"/>
    <tableColumn id="12" name="NCR # (if applicable)" dataDxfId="56"/>
    <tableColumn id="13" name="RMA # (if applicable)" dataDxfId="55"/>
    <tableColumn id="14" name="Comment/Fault or Recall" dataDxfId="54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H6" totalsRowShown="0" headerRowDxfId="53" dataDxfId="52">
  <autoFilter ref="A3:H6"/>
  <tableColumns count="8">
    <tableColumn id="1" name="Date Delivered" dataDxfId="51"/>
    <tableColumn id="2" name=" PSC Vodec Purchase Order Number" dataDxfId="50"/>
    <tableColumn id="3" name="Sub-contractor Serial Number" dataDxfId="49"/>
    <tableColumn id="4" name="Assigned" dataDxfId="48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47"/>
    <tableColumn id="6" name="QAI0010" dataDxfId="46"/>
    <tableColumn id="7" name="TP0041" dataDxfId="45"/>
    <tableColumn id="8" name="Availability" dataDxfId="44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I3:U4" totalsRowShown="0" headerRowDxfId="43" dataDxfId="42">
  <autoFilter ref="I3:U4"/>
  <tableColumns count="13">
    <tableColumn id="1" name="Date Delivered" dataDxfId="41"/>
    <tableColumn id="2" name="Bartec Vodec Purchase Order Number" dataDxfId="40"/>
    <tableColumn id="3" name="Serial Number" dataDxfId="39"/>
    <tableColumn id="4" name="Type" dataDxfId="38"/>
    <tableColumn id="5" name="Assigned" dataDxfId="37"/>
    <tableColumn id="6" name="Delivery Received &amp; Filed" dataDxfId="36"/>
    <tableColumn id="7" name="QAI0011" dataDxfId="35"/>
    <tableColumn id="8" name="Availiability 11" dataDxfId="34"/>
    <tableColumn id="9" name="Availability 12" dataDxfId="33"/>
    <tableColumn id="10" name="Availability 13" dataDxfId="32"/>
    <tableColumn id="11" name="Availability 21" dataDxfId="31"/>
    <tableColumn id="12" name="Availability 22" dataDxfId="30"/>
    <tableColumn id="13" name="Availability 23" dataDxfId="29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V3:AH5" totalsRowShown="0" headerRowDxfId="28" dataDxfId="27">
  <autoFilter ref="V3:AH5"/>
  <tableColumns count="13">
    <tableColumn id="1" name="ID" dataDxfId="26"/>
    <tableColumn id="3" name="Entry Date" dataDxfId="25"/>
    <tableColumn id="2" name="Type" dataDxfId="24"/>
    <tableColumn id="4" name="VAP100B SN" dataDxfId="23"/>
    <tableColumn id="5" name="TP0016" dataDxfId="22"/>
    <tableColumn id="6" name="QAI0011" dataDxfId="21"/>
    <tableColumn id="7" name="Assigned" dataDxfId="20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19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18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17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16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15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4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I3:AT4" totalsRowShown="0" headerRowDxfId="13" dataDxfId="12">
  <autoFilter ref="AI3:AT4"/>
  <tableColumns count="12">
    <tableColumn id="1" name="PSC V SN" dataDxfId="11"/>
    <tableColumn id="12" name="VAP01 ID" dataDxfId="10"/>
    <tableColumn id="2" name="Type" dataDxfId="9"/>
    <tableColumn id="3" name="Ex Type" dataDxfId="8"/>
    <tableColumn id="4" name="WO No" dataDxfId="7"/>
    <tableColumn id="5" name="Project" dataDxfId="6"/>
    <tableColumn id="6" name="Sales Office" dataDxfId="5"/>
    <tableColumn id="7" name="Despatch Date" dataDxfId="4"/>
    <tableColumn id="8" name="Outwards Documentation" dataDxfId="3"/>
    <tableColumn id="9" name="NCR # (if applicable)" dataDxfId="2"/>
    <tableColumn id="10" name="RMA # (if applicable)" dataDxfId="1"/>
    <tableColumn id="11" name="Comment/Fault or Recal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7265625" style="6" customWidth="1"/>
    <col min="3" max="3" width="30.7265625" style="23" bestFit="1" customWidth="1"/>
    <col min="4" max="4" width="11.54296875" style="13" customWidth="1"/>
    <col min="5" max="5" width="0.26953125" style="13" hidden="1" customWidth="1"/>
    <col min="6" max="6" width="18" style="83" bestFit="1" customWidth="1"/>
    <col min="7" max="7" width="9.26953125" style="13" customWidth="1"/>
    <col min="8" max="8" width="12.26953125" style="13" bestFit="1" customWidth="1"/>
    <col min="9" max="9" width="10.26953125" style="13" bestFit="1" customWidth="1"/>
    <col min="10" max="10" width="12" style="13" bestFit="1" customWidth="1"/>
    <col min="11" max="11" width="28.2695312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304" t="s">
        <v>1272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96">
        <v>1303</v>
      </c>
      <c r="B1177" s="298" t="s">
        <v>1507</v>
      </c>
      <c r="C1177" s="45" t="s">
        <v>1581</v>
      </c>
      <c r="D1177" s="300" t="s">
        <v>1580</v>
      </c>
      <c r="E1177" s="10"/>
      <c r="F1177" s="305" t="s">
        <v>1583</v>
      </c>
      <c r="G1177" s="300" t="s">
        <v>1179</v>
      </c>
      <c r="H1177" s="302">
        <v>42318</v>
      </c>
      <c r="I1177" s="300" t="s">
        <v>1181</v>
      </c>
      <c r="J1177" s="302">
        <v>42318</v>
      </c>
      <c r="K1177" s="43" t="s">
        <v>1584</v>
      </c>
    </row>
    <row r="1178" spans="1:11" x14ac:dyDescent="0.25">
      <c r="A1178" s="297"/>
      <c r="B1178" s="299"/>
      <c r="C1178" s="45" t="s">
        <v>1582</v>
      </c>
      <c r="D1178" s="301"/>
      <c r="E1178" s="10"/>
      <c r="F1178" s="306"/>
      <c r="G1178" s="301"/>
      <c r="H1178" s="303"/>
      <c r="I1178" s="301"/>
      <c r="J1178" s="303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96">
        <v>1306</v>
      </c>
      <c r="B1187" s="298" t="s">
        <v>257</v>
      </c>
      <c r="C1187" s="45" t="s">
        <v>1599</v>
      </c>
      <c r="D1187" s="300" t="s">
        <v>1601</v>
      </c>
      <c r="E1187" s="10"/>
      <c r="F1187" s="300" t="s">
        <v>33</v>
      </c>
      <c r="G1187" s="300" t="s">
        <v>1202</v>
      </c>
      <c r="H1187" s="302">
        <v>42388</v>
      </c>
      <c r="I1187" s="300" t="s">
        <v>1368</v>
      </c>
      <c r="J1187" s="300" t="s">
        <v>1602</v>
      </c>
      <c r="K1187" s="298" t="s">
        <v>1603</v>
      </c>
    </row>
    <row r="1188" spans="1:11" x14ac:dyDescent="0.25">
      <c r="A1188" s="297"/>
      <c r="B1188" s="299"/>
      <c r="C1188" s="80" t="s">
        <v>1600</v>
      </c>
      <c r="D1188" s="301"/>
      <c r="E1188" s="10"/>
      <c r="F1188" s="301"/>
      <c r="G1188" s="301"/>
      <c r="H1188" s="303"/>
      <c r="I1188" s="301"/>
      <c r="J1188" s="301"/>
      <c r="K1188" s="299"/>
    </row>
    <row r="1189" spans="1:11" x14ac:dyDescent="0.25">
      <c r="A1189" s="296">
        <v>1307</v>
      </c>
      <c r="B1189" s="298" t="s">
        <v>257</v>
      </c>
      <c r="C1189" s="45" t="s">
        <v>1604</v>
      </c>
      <c r="D1189" s="300" t="s">
        <v>1601</v>
      </c>
      <c r="E1189" s="10"/>
      <c r="F1189" s="300" t="s">
        <v>33</v>
      </c>
      <c r="G1189" s="300" t="s">
        <v>1202</v>
      </c>
      <c r="H1189" s="302">
        <v>42388</v>
      </c>
      <c r="I1189" s="300" t="s">
        <v>1368</v>
      </c>
      <c r="J1189" s="300" t="s">
        <v>1602</v>
      </c>
      <c r="K1189" s="298" t="s">
        <v>1606</v>
      </c>
    </row>
    <row r="1190" spans="1:11" x14ac:dyDescent="0.25">
      <c r="A1190" s="297"/>
      <c r="B1190" s="299"/>
      <c r="C1190" s="80" t="s">
        <v>1605</v>
      </c>
      <c r="D1190" s="301"/>
      <c r="E1190" s="10"/>
      <c r="F1190" s="301"/>
      <c r="G1190" s="301"/>
      <c r="H1190" s="303"/>
      <c r="I1190" s="301"/>
      <c r="J1190" s="301"/>
      <c r="K1190" s="299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T101"/>
  <sheetViews>
    <sheetView tabSelected="1" zoomScale="90" zoomScaleNormal="90" workbookViewId="0">
      <pane ySplit="3" topLeftCell="A5" activePane="bottomLeft" state="frozen"/>
      <selection pane="bottomLeft" activeCell="D10" sqref="D10"/>
    </sheetView>
  </sheetViews>
  <sheetFormatPr defaultRowHeight="12.5" x14ac:dyDescent="0.25"/>
  <cols>
    <col min="1" max="1" width="19.26953125" style="262" bestFit="1" customWidth="1"/>
    <col min="2" max="2" width="15.54296875" customWidth="1"/>
    <col min="3" max="3" width="13.7265625" customWidth="1"/>
    <col min="4" max="4" width="18.54296875" customWidth="1"/>
    <col min="5" max="5" width="14.7265625" bestFit="1" customWidth="1"/>
    <col min="6" max="6" width="15.453125" style="262" customWidth="1"/>
    <col min="7" max="7" width="12.54296875" customWidth="1"/>
    <col min="8" max="8" width="11.7265625" customWidth="1"/>
    <col min="9" max="9" width="18.453125" customWidth="1"/>
    <col min="10" max="10" width="18" customWidth="1"/>
    <col min="11" max="11" width="11.26953125" style="139" customWidth="1"/>
    <col min="12" max="12" width="11.7265625" customWidth="1"/>
    <col min="13" max="13" width="11" bestFit="1" customWidth="1"/>
    <col min="14" max="14" width="17.26953125" style="293" customWidth="1"/>
    <col min="15" max="15" width="11" customWidth="1"/>
    <col min="16" max="16" width="16.453125" style="139" customWidth="1"/>
    <col min="17" max="17" width="13.26953125" bestFit="1" customWidth="1"/>
    <col min="18" max="18" width="12.26953125" bestFit="1" customWidth="1"/>
    <col min="19" max="19" width="15.54296875" customWidth="1"/>
    <col min="20" max="20" width="14.7265625" customWidth="1"/>
    <col min="21" max="21" width="8.7265625" customWidth="1"/>
    <col min="22" max="22" width="12.26953125" style="139" customWidth="1"/>
    <col min="23" max="23" width="11.26953125" customWidth="1"/>
    <col min="24" max="24" width="15" customWidth="1"/>
    <col min="25" max="25" width="16.7265625" customWidth="1"/>
    <col min="26" max="26" width="15.7265625" customWidth="1"/>
    <col min="27" max="27" width="12.26953125" customWidth="1"/>
    <col min="28" max="28" width="11.7265625" customWidth="1"/>
    <col min="29" max="29" width="12" bestFit="1" customWidth="1"/>
    <col min="30" max="30" width="12.26953125" customWidth="1"/>
    <col min="31" max="34" width="12.26953125" bestFit="1" customWidth="1"/>
    <col min="35" max="35" width="15.7265625" customWidth="1"/>
    <col min="36" max="37" width="14.7265625" customWidth="1"/>
    <col min="38" max="38" width="17.7265625" customWidth="1"/>
    <col min="39" max="39" width="11.453125" customWidth="1"/>
    <col min="40" max="40" width="14.54296875" customWidth="1"/>
    <col min="41" max="41" width="17.7265625" customWidth="1"/>
    <col min="42" max="42" width="15.7265625" customWidth="1"/>
    <col min="43" max="43" width="25.26953125" customWidth="1"/>
    <col min="44" max="45" width="20.54296875" customWidth="1"/>
    <col min="46" max="46" width="25.7265625" customWidth="1"/>
  </cols>
  <sheetData>
    <row r="1" spans="1:46" ht="13" x14ac:dyDescent="0.25">
      <c r="A1" s="307" t="s">
        <v>1658</v>
      </c>
      <c r="B1" s="307"/>
      <c r="C1" s="307"/>
      <c r="D1" s="307"/>
      <c r="E1" s="307"/>
      <c r="F1" s="307"/>
      <c r="G1" s="307"/>
      <c r="H1" s="307"/>
      <c r="I1" s="157"/>
      <c r="J1" s="154"/>
      <c r="K1" s="309" t="s">
        <v>1660</v>
      </c>
      <c r="L1" s="309"/>
      <c r="M1" s="309"/>
      <c r="N1" s="309"/>
      <c r="O1" s="309"/>
      <c r="P1" s="309"/>
      <c r="Q1" s="309"/>
      <c r="R1" s="309"/>
      <c r="S1" s="309"/>
      <c r="T1" s="309"/>
      <c r="U1" s="310" t="s">
        <v>1678</v>
      </c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1" t="s">
        <v>1672</v>
      </c>
      <c r="AJ1" s="311"/>
      <c r="AK1" s="311"/>
      <c r="AL1" s="311"/>
      <c r="AM1" s="311"/>
      <c r="AN1" s="311"/>
      <c r="AO1" s="311"/>
      <c r="AP1" s="311"/>
      <c r="AQ1" s="311"/>
      <c r="AR1" s="311"/>
      <c r="AS1" s="311"/>
      <c r="AT1" s="311"/>
    </row>
    <row r="2" spans="1:46" ht="13" x14ac:dyDescent="0.25">
      <c r="A2" s="308"/>
      <c r="B2" s="308"/>
      <c r="C2" s="308"/>
      <c r="D2" s="308"/>
      <c r="E2" s="308"/>
      <c r="F2" s="308"/>
      <c r="G2" s="308"/>
      <c r="H2" s="308"/>
      <c r="I2" s="155"/>
      <c r="J2" s="155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10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1"/>
      <c r="AJ2" s="311"/>
      <c r="AK2" s="311"/>
      <c r="AL2" s="311"/>
      <c r="AM2" s="311"/>
      <c r="AN2" s="311"/>
      <c r="AO2" s="311"/>
      <c r="AP2" s="311"/>
      <c r="AQ2" s="311"/>
      <c r="AR2" s="311"/>
      <c r="AS2" s="311"/>
      <c r="AT2" s="311"/>
    </row>
    <row r="3" spans="1:46" ht="39" x14ac:dyDescent="0.25">
      <c r="A3" s="259" t="s">
        <v>692</v>
      </c>
      <c r="B3" s="123" t="s">
        <v>1712</v>
      </c>
      <c r="C3" s="123" t="s">
        <v>1659</v>
      </c>
      <c r="D3" s="124" t="s">
        <v>2</v>
      </c>
      <c r="E3" s="124" t="s">
        <v>1637</v>
      </c>
      <c r="F3" s="264" t="s">
        <v>1613</v>
      </c>
      <c r="G3" s="176" t="s">
        <v>1633</v>
      </c>
      <c r="H3" s="177" t="s">
        <v>1657</v>
      </c>
      <c r="I3" s="153" t="s">
        <v>1668</v>
      </c>
      <c r="J3" s="156" t="s">
        <v>1669</v>
      </c>
      <c r="K3" s="215" t="s">
        <v>1661</v>
      </c>
      <c r="L3" s="158" t="s">
        <v>1784</v>
      </c>
      <c r="M3" s="158" t="s">
        <v>1659</v>
      </c>
      <c r="N3" s="291" t="s">
        <v>1662</v>
      </c>
      <c r="O3" s="159" t="s">
        <v>1637</v>
      </c>
      <c r="P3" s="217" t="s">
        <v>1613</v>
      </c>
      <c r="Q3" s="159" t="s">
        <v>1663</v>
      </c>
      <c r="R3" s="159" t="s">
        <v>1793</v>
      </c>
      <c r="S3" s="159" t="s">
        <v>1671</v>
      </c>
      <c r="T3" s="159" t="s">
        <v>1670</v>
      </c>
      <c r="U3" s="163" t="s">
        <v>1664</v>
      </c>
      <c r="V3" s="216" t="s">
        <v>1661</v>
      </c>
      <c r="W3" s="163" t="s">
        <v>1659</v>
      </c>
      <c r="X3" s="163" t="s">
        <v>1665</v>
      </c>
      <c r="Y3" s="163" t="s">
        <v>1666</v>
      </c>
      <c r="Z3" s="163" t="s">
        <v>1667</v>
      </c>
      <c r="AA3" s="163" t="s">
        <v>1794</v>
      </c>
      <c r="AB3" s="163" t="s">
        <v>1679</v>
      </c>
      <c r="AC3" s="163" t="s">
        <v>1637</v>
      </c>
      <c r="AD3" s="163" t="s">
        <v>1671</v>
      </c>
      <c r="AE3" s="163" t="s">
        <v>1674</v>
      </c>
      <c r="AF3" s="163" t="s">
        <v>1675</v>
      </c>
      <c r="AG3" s="163" t="s">
        <v>1676</v>
      </c>
      <c r="AH3" s="163" t="s">
        <v>1677</v>
      </c>
      <c r="AI3" s="160" t="s">
        <v>1711</v>
      </c>
      <c r="AJ3" s="160" t="s">
        <v>1673</v>
      </c>
      <c r="AK3" s="160" t="s">
        <v>1680</v>
      </c>
      <c r="AL3" s="160" t="s">
        <v>1706</v>
      </c>
      <c r="AM3" s="161" t="s">
        <v>3</v>
      </c>
      <c r="AN3" s="161" t="s">
        <v>4</v>
      </c>
      <c r="AO3" s="161" t="s">
        <v>1622</v>
      </c>
      <c r="AP3" s="161" t="s">
        <v>5</v>
      </c>
      <c r="AQ3" s="162" t="s">
        <v>1615</v>
      </c>
      <c r="AR3" s="162" t="s">
        <v>194</v>
      </c>
      <c r="AS3" s="162" t="s">
        <v>195</v>
      </c>
      <c r="AT3" s="161" t="s">
        <v>6</v>
      </c>
    </row>
    <row r="4" spans="1:46" x14ac:dyDescent="0.25">
      <c r="A4" s="260"/>
      <c r="B4" s="179"/>
      <c r="C4" s="179"/>
      <c r="D4" s="180"/>
      <c r="E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4" s="265"/>
      <c r="G4" s="184"/>
      <c r="H4" s="183"/>
      <c r="I4" s="243" t="str">
        <f>IF(VAP100AE[[#This Row],[Type]]="VAP100A",IF(VAP100AE[[#This Row],[TP0054]]="PASS",IF(E4=0,IF(E4="","",D4),""),""),"")</f>
        <v/>
      </c>
      <c r="J4" s="180" t="str">
        <f>IF(VAP100AE[[#This Row],[Type]]="VAP100E",IF(VAP100AE[[#This Row],[TP0054]]="PASS",IF(E4=0,IF(E4="","",D4),""),""),"")</f>
        <v/>
      </c>
      <c r="K4" s="178"/>
      <c r="L4" s="185"/>
      <c r="M4" s="185"/>
      <c r="N4" s="292"/>
      <c r="O4" s="180">
        <f>IF(AND(COUNTIF(Assembly[Membrane SN],Membranes[[#This Row],[Sub-contractor SN]])=1,Membranes[[#This Row],[QAI0006]]="PASS"),1,0)</f>
        <v>0</v>
      </c>
      <c r="P4" s="182"/>
      <c r="Q4" s="183"/>
      <c r="R4" s="183"/>
      <c r="S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4" s="180"/>
      <c r="V4" s="178"/>
      <c r="W4" s="180"/>
      <c r="X4" s="183"/>
      <c r="Y4" s="183"/>
      <c r="Z4" s="183"/>
      <c r="AA4" s="183"/>
      <c r="AB4" s="183"/>
      <c r="AC4" s="180">
        <f>IF(AND(COUNTIF(VAP_Destination[ID/SN],Assembly[[#This Row],[ID]])=1,Assembly[[#This Row],[TP0094/96]]="PASS",Assembly[[#This Row],[QAI0008/9]]="PASS"),1,0)</f>
        <v>0</v>
      </c>
      <c r="AD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4" s="251">
        <v>0</v>
      </c>
      <c r="AJ4" s="248"/>
      <c r="AK4" s="248"/>
      <c r="AL4" s="248"/>
      <c r="AM4" s="249"/>
      <c r="AN4" s="249"/>
      <c r="AO4" s="249"/>
      <c r="AP4" s="249"/>
      <c r="AQ4" s="250"/>
      <c r="AR4" s="250"/>
      <c r="AS4" s="250"/>
      <c r="AT4" s="254"/>
    </row>
    <row r="5" spans="1:46" s="34" customFormat="1" x14ac:dyDescent="0.25">
      <c r="A5" s="261">
        <v>43808</v>
      </c>
      <c r="B5" s="255" t="s">
        <v>1815</v>
      </c>
      <c r="C5" s="256" t="s">
        <v>1507</v>
      </c>
      <c r="D5" s="257" t="s">
        <v>1816</v>
      </c>
      <c r="E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5" s="266">
        <v>44124</v>
      </c>
      <c r="G5" s="199" t="s">
        <v>1641</v>
      </c>
      <c r="H5" s="200" t="s">
        <v>1641</v>
      </c>
      <c r="I5" s="213" t="str">
        <f>IF(VAP100AE[[#This Row],[Type]]="VAP100A",IF(VAP100AE[[#This Row],[TP0054]]="PASS",IF(E5=0,IF(E5="","",D5),""),""),"")</f>
        <v/>
      </c>
      <c r="J5" s="198" t="str">
        <f>IF(VAP100AE[[#This Row],[Type]]="VAP100E",IF(VAP100AE[[#This Row],[TP0054]]="PASS",IF(E5=0,IF(E5="","",D5),""),""),"")</f>
        <v>RN519215/1219/AD</v>
      </c>
      <c r="K5" s="270">
        <v>41883</v>
      </c>
      <c r="L5" s="185">
        <v>111111</v>
      </c>
      <c r="M5" s="185" t="s">
        <v>564</v>
      </c>
      <c r="N5" s="295" t="s">
        <v>1841</v>
      </c>
      <c r="O5" s="181">
        <f>IF(AND(COUNTIF(Assembly[Membrane SN],Membranes[[#This Row],[Sub-contractor SN]])=1,Membranes[[#This Row],[QAI0006]]="PASS"),1,0)</f>
        <v>0</v>
      </c>
      <c r="P5" s="273">
        <v>44131</v>
      </c>
      <c r="Q5" s="183" t="s">
        <v>1644</v>
      </c>
      <c r="R5" s="183" t="s">
        <v>1644</v>
      </c>
      <c r="S5" s="24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5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34" customFormat="1" x14ac:dyDescent="0.25">
      <c r="A6" s="261">
        <v>43808</v>
      </c>
      <c r="B6" s="255" t="s">
        <v>1815</v>
      </c>
      <c r="C6" s="256" t="s">
        <v>1507</v>
      </c>
      <c r="D6" s="257" t="s">
        <v>1817</v>
      </c>
      <c r="E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6" s="266">
        <v>44124</v>
      </c>
      <c r="G6" s="199" t="s">
        <v>1641</v>
      </c>
      <c r="H6" s="200" t="s">
        <v>1641</v>
      </c>
      <c r="I6" s="213" t="str">
        <f>IF(VAP100AE[[#This Row],[Type]]="VAP100A",IF(VAP100AE[[#This Row],[TP0054]]="PASS",IF(E6=0,IF(E6="","",D6),""),""),"")</f>
        <v/>
      </c>
      <c r="J6" s="198" t="str">
        <f>IF(VAP100AE[[#This Row],[Type]]="VAP100E",IF(VAP100AE[[#This Row],[TP0054]]="PASS",IF(E6=0,IF(E6="","",D6),""),""),"")</f>
        <v>RN/519211/1219/AD</v>
      </c>
      <c r="K6" s="270">
        <v>41883</v>
      </c>
      <c r="L6" s="185">
        <v>111111</v>
      </c>
      <c r="M6" s="185" t="s">
        <v>564</v>
      </c>
      <c r="N6" s="295" t="s">
        <v>1840</v>
      </c>
      <c r="O6" s="181">
        <f>IF(AND(COUNTIF(Assembly[Membrane SN],Membranes[[#This Row],[Sub-contractor SN]])=1,Membranes[[#This Row],[QAI0006]]="PASS"),1,0)</f>
        <v>0</v>
      </c>
      <c r="P6" s="273">
        <v>44131</v>
      </c>
      <c r="Q6" s="183" t="s">
        <v>1644</v>
      </c>
      <c r="R6" s="183" t="s">
        <v>1644</v>
      </c>
      <c r="S6" s="24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6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34" customFormat="1" x14ac:dyDescent="0.25">
      <c r="A7" s="261">
        <v>43808</v>
      </c>
      <c r="B7" s="255" t="s">
        <v>1815</v>
      </c>
      <c r="C7" s="256" t="s">
        <v>1507</v>
      </c>
      <c r="D7" s="257" t="s">
        <v>1818</v>
      </c>
      <c r="E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7" s="266">
        <v>44124</v>
      </c>
      <c r="G7" s="199" t="s">
        <v>1641</v>
      </c>
      <c r="H7" s="200" t="s">
        <v>1641</v>
      </c>
      <c r="I7" s="213" t="str">
        <f>IF(VAP100AE[[#This Row],[Type]]="VAP100A",IF(VAP100AE[[#This Row],[TP0054]]="PASS",IF(E7=0,IF(E7="","",D7),""),""),"")</f>
        <v/>
      </c>
      <c r="J7" s="198" t="str">
        <f>IF(VAP100AE[[#This Row],[Type]]="VAP100E",IF(VAP100AE[[#This Row],[TP0054]]="PASS",IF(E7=0,IF(E7="","",D7),""),""),"")</f>
        <v>RN/519225/1219/AD</v>
      </c>
      <c r="K7" s="270">
        <v>41883</v>
      </c>
      <c r="L7" s="185">
        <v>111111</v>
      </c>
      <c r="M7" s="185" t="s">
        <v>564</v>
      </c>
      <c r="N7" s="295" t="s">
        <v>1839</v>
      </c>
      <c r="O7" s="181">
        <f>IF(AND(COUNTIF(Assembly[Membrane SN],Membranes[[#This Row],[Sub-contractor SN]])=1,Membranes[[#This Row],[QAI0006]]="PASS"),1,0)</f>
        <v>0</v>
      </c>
      <c r="P7" s="273">
        <v>44131</v>
      </c>
      <c r="Q7" s="183" t="s">
        <v>1644</v>
      </c>
      <c r="R7" s="183" t="s">
        <v>1644</v>
      </c>
      <c r="S7" s="24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7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s="34" customFormat="1" x14ac:dyDescent="0.25">
      <c r="A8" s="261">
        <v>43808</v>
      </c>
      <c r="B8" s="255" t="s">
        <v>1815</v>
      </c>
      <c r="C8" s="256" t="s">
        <v>1507</v>
      </c>
      <c r="D8" s="257" t="s">
        <v>1819</v>
      </c>
      <c r="E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8" s="266">
        <v>44124</v>
      </c>
      <c r="G8" s="199" t="s">
        <v>1641</v>
      </c>
      <c r="H8" s="200" t="s">
        <v>1641</v>
      </c>
      <c r="I8" s="213" t="str">
        <f>IF(VAP100AE[[#This Row],[Type]]="VAP100A",IF(VAP100AE[[#This Row],[TP0054]]="PASS",IF(E8=0,IF(E8="","",D8),""),""),"")</f>
        <v/>
      </c>
      <c r="J8" s="198" t="str">
        <f>IF(VAP100AE[[#This Row],[Type]]="VAP100E",IF(VAP100AE[[#This Row],[TP0054]]="PASS",IF(E8=0,IF(E8="","",D8),""),""),"")</f>
        <v>RN/519209/1219/AD</v>
      </c>
      <c r="K8"/>
      <c r="L8"/>
      <c r="M8"/>
      <c r="N8" s="293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x14ac:dyDescent="0.25">
      <c r="A9" s="261">
        <v>43808</v>
      </c>
      <c r="B9" s="255" t="s">
        <v>1815</v>
      </c>
      <c r="C9" s="256" t="s">
        <v>1507</v>
      </c>
      <c r="D9" s="257" t="s">
        <v>1820</v>
      </c>
      <c r="E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9" s="266">
        <v>44124</v>
      </c>
      <c r="G9" s="199" t="s">
        <v>1641</v>
      </c>
      <c r="H9" s="200" t="s">
        <v>1641</v>
      </c>
      <c r="I9" s="213" t="str">
        <f>IF(VAP100AE[[#This Row],[Type]]="VAP100A",IF(VAP100AE[[#This Row],[TP0054]]="PASS",IF(E9=0,IF(E9="","",D9),""),""),"")</f>
        <v/>
      </c>
      <c r="J9" s="198" t="str">
        <f>IF(VAP100AE[[#This Row],[Type]]="VAP100E",IF(VAP100AE[[#This Row],[TP0054]]="PASS",IF(E9=0,IF(E9="","",D9),""),""),"")</f>
        <v>RN/519210/1219/AD</v>
      </c>
      <c r="K9"/>
      <c r="P9"/>
      <c r="V9"/>
    </row>
    <row r="10" spans="1:46" x14ac:dyDescent="0.25">
      <c r="A10" s="261">
        <v>43808</v>
      </c>
      <c r="B10" s="255" t="s">
        <v>1815</v>
      </c>
      <c r="C10" s="256" t="s">
        <v>1507</v>
      </c>
      <c r="D10" s="257" t="s">
        <v>1821</v>
      </c>
      <c r="E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0" s="266">
        <v>44124</v>
      </c>
      <c r="G10" s="199" t="s">
        <v>1641</v>
      </c>
      <c r="H10" s="200" t="s">
        <v>1641</v>
      </c>
      <c r="I10" s="213" t="str">
        <f>IF(VAP100AE[[#This Row],[Type]]="VAP100A",IF(VAP100AE[[#This Row],[TP0054]]="PASS",IF(E10=0,IF(E10="","",D10),""),""),"")</f>
        <v/>
      </c>
      <c r="J10" s="198" t="str">
        <f>IF(VAP100AE[[#This Row],[Type]]="VAP100E",IF(VAP100AE[[#This Row],[TP0054]]="PASS",IF(E10=0,IF(E10="","",D10),""),""),"")</f>
        <v>RN/519223/1219/AD</v>
      </c>
      <c r="K10"/>
      <c r="P10"/>
      <c r="V10"/>
    </row>
    <row r="11" spans="1:46" x14ac:dyDescent="0.25">
      <c r="A11"/>
      <c r="F11"/>
      <c r="K11"/>
      <c r="P11"/>
      <c r="V11"/>
    </row>
    <row r="12" spans="1:46" x14ac:dyDescent="0.25">
      <c r="A12"/>
      <c r="F12"/>
      <c r="K12"/>
      <c r="P12"/>
      <c r="V12"/>
    </row>
    <row r="13" spans="1:46" x14ac:dyDescent="0.25">
      <c r="K13"/>
      <c r="P13"/>
      <c r="V13"/>
    </row>
    <row r="14" spans="1:46" x14ac:dyDescent="0.25">
      <c r="K14"/>
      <c r="P14"/>
      <c r="V14"/>
    </row>
    <row r="15" spans="1:46" x14ac:dyDescent="0.25">
      <c r="K15"/>
      <c r="P15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</row>
    <row r="16" spans="1:46" x14ac:dyDescent="0.25">
      <c r="K16"/>
      <c r="P16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</row>
    <row r="17" spans="11:34" x14ac:dyDescent="0.25">
      <c r="K17"/>
      <c r="P17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</row>
    <row r="18" spans="11:34" x14ac:dyDescent="0.25">
      <c r="K18"/>
      <c r="P18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</row>
    <row r="19" spans="11:34" x14ac:dyDescent="0.25">
      <c r="K19"/>
      <c r="P19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</row>
    <row r="20" spans="11:34" x14ac:dyDescent="0.25">
      <c r="K20"/>
      <c r="P20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</row>
    <row r="21" spans="11:34" x14ac:dyDescent="0.25">
      <c r="K21"/>
      <c r="P21"/>
      <c r="U21" s="34"/>
      <c r="V21" s="34"/>
      <c r="W21" s="34"/>
      <c r="X21" s="34"/>
      <c r="Y21" s="34"/>
      <c r="Z21" s="34"/>
      <c r="AA21" s="34"/>
      <c r="AB21" s="34"/>
      <c r="AC21" s="34"/>
      <c r="AD21" s="170"/>
      <c r="AE21" s="170"/>
      <c r="AF21" s="170"/>
      <c r="AG21" s="170"/>
      <c r="AH21" s="170"/>
    </row>
    <row r="22" spans="11:34" x14ac:dyDescent="0.25">
      <c r="K22"/>
      <c r="P22"/>
      <c r="U22" s="34"/>
      <c r="V22" s="34"/>
      <c r="W22" s="34"/>
      <c r="X22" s="34"/>
      <c r="Y22" s="34"/>
      <c r="Z22" s="34"/>
      <c r="AA22" s="34"/>
      <c r="AB22" s="34"/>
      <c r="AC22" s="34"/>
      <c r="AD22" s="170"/>
      <c r="AE22" s="170"/>
      <c r="AF22" s="170"/>
      <c r="AG22" s="170"/>
      <c r="AH22" s="170"/>
    </row>
    <row r="23" spans="11:34" x14ac:dyDescent="0.25">
      <c r="K23"/>
      <c r="P23"/>
      <c r="V23"/>
    </row>
    <row r="24" spans="11:34" x14ac:dyDescent="0.25">
      <c r="K24"/>
      <c r="P24"/>
      <c r="V24"/>
    </row>
    <row r="25" spans="11:34" x14ac:dyDescent="0.25">
      <c r="K25"/>
      <c r="P25"/>
      <c r="V25"/>
    </row>
    <row r="26" spans="11:34" x14ac:dyDescent="0.25">
      <c r="K26"/>
      <c r="P26"/>
      <c r="V26"/>
    </row>
    <row r="27" spans="11:34" x14ac:dyDescent="0.25">
      <c r="K27"/>
      <c r="P27"/>
      <c r="V27"/>
    </row>
    <row r="28" spans="11:34" x14ac:dyDescent="0.25">
      <c r="K28"/>
      <c r="P28"/>
      <c r="V28"/>
    </row>
    <row r="29" spans="11:34" x14ac:dyDescent="0.25">
      <c r="K29"/>
      <c r="P29"/>
      <c r="V29"/>
    </row>
    <row r="30" spans="11:34" x14ac:dyDescent="0.25">
      <c r="K30"/>
      <c r="P30"/>
      <c r="V30"/>
    </row>
    <row r="31" spans="11:34" x14ac:dyDescent="0.25">
      <c r="K31"/>
      <c r="P31"/>
      <c r="V31"/>
    </row>
    <row r="32" spans="11:34" x14ac:dyDescent="0.25">
      <c r="K32"/>
      <c r="P32"/>
      <c r="V32"/>
    </row>
    <row r="33" spans="11:22" x14ac:dyDescent="0.25">
      <c r="K33"/>
      <c r="P33"/>
      <c r="V33"/>
    </row>
    <row r="34" spans="11:22" x14ac:dyDescent="0.25">
      <c r="K34"/>
      <c r="P34"/>
      <c r="V34"/>
    </row>
    <row r="35" spans="11:22" x14ac:dyDescent="0.25">
      <c r="K35"/>
      <c r="P35"/>
      <c r="V35"/>
    </row>
    <row r="36" spans="11:22" x14ac:dyDescent="0.25">
      <c r="K36"/>
      <c r="P36"/>
      <c r="V36"/>
    </row>
    <row r="37" spans="11:22" x14ac:dyDescent="0.25">
      <c r="K37" s="34"/>
      <c r="L37" s="34"/>
      <c r="M37" s="34"/>
      <c r="N37" s="246"/>
      <c r="O37" s="34"/>
      <c r="P37" s="34"/>
      <c r="Q37" s="34"/>
      <c r="R37" s="34"/>
      <c r="S37" s="34"/>
      <c r="T37" s="34"/>
      <c r="V37"/>
    </row>
    <row r="38" spans="11:22" x14ac:dyDescent="0.25">
      <c r="K38" s="34"/>
      <c r="L38" s="34"/>
      <c r="M38" s="34"/>
      <c r="N38" s="246"/>
      <c r="O38" s="34"/>
      <c r="P38" s="34"/>
      <c r="Q38" s="34"/>
      <c r="R38" s="34"/>
      <c r="S38" s="34"/>
      <c r="T38" s="34"/>
      <c r="V38"/>
    </row>
    <row r="39" spans="11:22" x14ac:dyDescent="0.25">
      <c r="K39" s="34"/>
      <c r="L39" s="34"/>
      <c r="M39" s="34"/>
      <c r="N39" s="246"/>
      <c r="O39" s="34"/>
      <c r="P39" s="34"/>
      <c r="Q39" s="34"/>
      <c r="R39" s="34"/>
      <c r="S39" s="34"/>
      <c r="T39" s="34"/>
      <c r="V39"/>
    </row>
    <row r="40" spans="11:22" x14ac:dyDescent="0.25">
      <c r="K40" s="34"/>
      <c r="L40" s="34"/>
      <c r="M40" s="34"/>
      <c r="N40" s="246"/>
      <c r="O40" s="34"/>
      <c r="P40" s="34"/>
      <c r="Q40" s="34"/>
      <c r="R40" s="34"/>
      <c r="S40" s="34"/>
      <c r="T40" s="34"/>
      <c r="V40"/>
    </row>
    <row r="41" spans="11:22" x14ac:dyDescent="0.25">
      <c r="K41" s="34"/>
      <c r="L41" s="34"/>
      <c r="M41" s="34"/>
      <c r="N41" s="246"/>
      <c r="O41" s="34"/>
      <c r="P41" s="34"/>
      <c r="Q41" s="34"/>
      <c r="R41" s="34"/>
      <c r="S41" s="34"/>
      <c r="T41" s="34"/>
      <c r="V41"/>
    </row>
    <row r="42" spans="11:22" x14ac:dyDescent="0.25">
      <c r="K42" s="34"/>
      <c r="L42" s="34"/>
      <c r="M42" s="34"/>
      <c r="N42" s="246"/>
      <c r="O42" s="34"/>
      <c r="P42" s="34"/>
      <c r="Q42" s="34"/>
      <c r="R42" s="34"/>
      <c r="S42" s="34"/>
      <c r="T42" s="34"/>
      <c r="V42"/>
    </row>
    <row r="43" spans="11:22" x14ac:dyDescent="0.25">
      <c r="K43" s="34"/>
      <c r="L43" s="34"/>
      <c r="M43" s="34"/>
      <c r="N43" s="246"/>
      <c r="O43" s="34"/>
      <c r="P43" s="34"/>
      <c r="Q43" s="34"/>
      <c r="R43" s="34"/>
      <c r="S43" s="34"/>
      <c r="T43" s="34"/>
      <c r="V43"/>
    </row>
    <row r="44" spans="11:22" x14ac:dyDescent="0.25">
      <c r="K44" s="34"/>
      <c r="L44" s="34"/>
      <c r="M44" s="34"/>
      <c r="N44" s="246"/>
      <c r="O44" s="34"/>
      <c r="P44" s="34"/>
      <c r="Q44" s="34"/>
      <c r="R44" s="34"/>
      <c r="S44" s="34"/>
      <c r="T44" s="34"/>
      <c r="V44"/>
    </row>
    <row r="45" spans="11:22" x14ac:dyDescent="0.25">
      <c r="K45" s="34"/>
      <c r="L45" s="34"/>
      <c r="M45" s="34"/>
      <c r="N45" s="246"/>
      <c r="O45" s="34"/>
      <c r="P45" s="34"/>
      <c r="Q45" s="34"/>
      <c r="R45" s="34"/>
      <c r="S45" s="34"/>
      <c r="T45" s="34"/>
      <c r="V45"/>
    </row>
    <row r="46" spans="11:22" x14ac:dyDescent="0.25">
      <c r="K46" s="34"/>
      <c r="L46" s="34"/>
      <c r="M46" s="34"/>
      <c r="N46" s="246"/>
      <c r="O46" s="34"/>
      <c r="P46" s="34"/>
      <c r="Q46" s="34"/>
      <c r="R46" s="34"/>
      <c r="S46" s="34"/>
      <c r="T46" s="34"/>
      <c r="V46"/>
    </row>
    <row r="47" spans="11:22" x14ac:dyDescent="0.25">
      <c r="K47" s="34"/>
      <c r="L47" s="34"/>
      <c r="M47" s="34"/>
      <c r="N47" s="246"/>
      <c r="O47" s="34"/>
      <c r="P47" s="34"/>
      <c r="Q47" s="34"/>
      <c r="R47" s="34"/>
      <c r="S47" s="34"/>
      <c r="T47" s="34"/>
      <c r="V47"/>
    </row>
    <row r="48" spans="11:22" x14ac:dyDescent="0.25">
      <c r="K48"/>
      <c r="P48"/>
      <c r="V48"/>
    </row>
    <row r="49" spans="11:46" x14ac:dyDescent="0.25">
      <c r="K49"/>
      <c r="P49"/>
      <c r="V49"/>
    </row>
    <row r="50" spans="11:46" x14ac:dyDescent="0.25">
      <c r="K50"/>
      <c r="P50"/>
      <c r="V50"/>
    </row>
    <row r="51" spans="11:46" x14ac:dyDescent="0.25">
      <c r="K51"/>
      <c r="P51"/>
      <c r="V51"/>
    </row>
    <row r="52" spans="11:46" x14ac:dyDescent="0.25">
      <c r="K52"/>
      <c r="P52"/>
      <c r="V52"/>
    </row>
    <row r="53" spans="11:46" x14ac:dyDescent="0.25">
      <c r="K53"/>
      <c r="P53"/>
      <c r="V53"/>
    </row>
    <row r="54" spans="11:46" x14ac:dyDescent="0.25">
      <c r="K54"/>
      <c r="P54"/>
      <c r="V54"/>
    </row>
    <row r="55" spans="11:46" x14ac:dyDescent="0.25">
      <c r="K55"/>
      <c r="P55"/>
      <c r="V55"/>
    </row>
    <row r="56" spans="11:46" x14ac:dyDescent="0.25">
      <c r="K56"/>
      <c r="P56"/>
      <c r="S56" s="218"/>
      <c r="V56"/>
    </row>
    <row r="57" spans="11:46" x14ac:dyDescent="0.25">
      <c r="K57"/>
      <c r="P57"/>
      <c r="S57" s="218"/>
      <c r="V57"/>
    </row>
    <row r="58" spans="11:46" x14ac:dyDescent="0.25">
      <c r="K58"/>
      <c r="P58"/>
      <c r="S58" s="218"/>
      <c r="V58"/>
      <c r="AI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</row>
    <row r="59" spans="11:46" x14ac:dyDescent="0.25">
      <c r="K59"/>
      <c r="P59"/>
      <c r="S59" s="218"/>
      <c r="V59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</row>
    <row r="60" spans="11:46" x14ac:dyDescent="0.25">
      <c r="K60"/>
      <c r="P60"/>
      <c r="S60" s="218"/>
      <c r="V60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</row>
    <row r="61" spans="11:46" x14ac:dyDescent="0.25">
      <c r="K61"/>
      <c r="P61"/>
      <c r="S61" s="218"/>
      <c r="U61" s="34"/>
      <c r="V61" s="164"/>
      <c r="W61" s="34"/>
      <c r="X61" s="167"/>
      <c r="Y61" s="166"/>
      <c r="Z61" s="166"/>
      <c r="AA61" s="166"/>
      <c r="AB61" s="166"/>
      <c r="AC61" s="171"/>
      <c r="AD61" s="167"/>
      <c r="AE61" s="167"/>
      <c r="AF61" s="167"/>
      <c r="AG61" s="171"/>
      <c r="AH61" s="171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</row>
    <row r="62" spans="11:46" x14ac:dyDescent="0.25">
      <c r="K62"/>
      <c r="P62"/>
      <c r="S62" s="218"/>
      <c r="V62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</row>
    <row r="63" spans="11:46" x14ac:dyDescent="0.25">
      <c r="K63"/>
      <c r="P63"/>
      <c r="S63" s="218"/>
      <c r="V63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</row>
    <row r="64" spans="11:46" x14ac:dyDescent="0.25">
      <c r="K64"/>
      <c r="P64"/>
      <c r="S64" s="218"/>
      <c r="V6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</row>
    <row r="65" spans="11:46" x14ac:dyDescent="0.25">
      <c r="K65"/>
      <c r="P65"/>
      <c r="S65" s="218"/>
      <c r="V65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</row>
    <row r="66" spans="11:46" x14ac:dyDescent="0.25">
      <c r="K66"/>
      <c r="P66"/>
      <c r="S66" s="218"/>
      <c r="V66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</row>
    <row r="67" spans="11:46" x14ac:dyDescent="0.25">
      <c r="K67"/>
      <c r="P67"/>
      <c r="S67" s="218"/>
      <c r="V67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</row>
    <row r="68" spans="11:46" x14ac:dyDescent="0.25">
      <c r="K68"/>
      <c r="P68"/>
      <c r="S68" s="218"/>
      <c r="V68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</row>
    <row r="69" spans="11:46" x14ac:dyDescent="0.25">
      <c r="K69"/>
      <c r="P69"/>
      <c r="S69" s="218"/>
      <c r="V69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</row>
    <row r="70" spans="11:46" x14ac:dyDescent="0.25">
      <c r="K70"/>
      <c r="P70"/>
      <c r="S70" s="218"/>
      <c r="V70"/>
    </row>
    <row r="71" spans="11:46" x14ac:dyDescent="0.25">
      <c r="K71"/>
      <c r="P71"/>
      <c r="V71"/>
    </row>
    <row r="72" spans="11:46" x14ac:dyDescent="0.25">
      <c r="K72"/>
      <c r="P72"/>
      <c r="V72"/>
    </row>
    <row r="73" spans="11:46" x14ac:dyDescent="0.25">
      <c r="K73"/>
      <c r="P73"/>
      <c r="V73"/>
    </row>
    <row r="74" spans="11:46" x14ac:dyDescent="0.25">
      <c r="K74"/>
      <c r="P74"/>
      <c r="V74"/>
    </row>
    <row r="75" spans="11:46" x14ac:dyDescent="0.25">
      <c r="K75"/>
      <c r="P75"/>
      <c r="V75"/>
    </row>
    <row r="76" spans="11:46" x14ac:dyDescent="0.25">
      <c r="K76"/>
      <c r="P76"/>
      <c r="V76"/>
    </row>
    <row r="77" spans="11:46" x14ac:dyDescent="0.25">
      <c r="K77"/>
      <c r="P77"/>
      <c r="V77"/>
    </row>
    <row r="78" spans="11:46" x14ac:dyDescent="0.25">
      <c r="K78"/>
      <c r="P78"/>
      <c r="V78"/>
    </row>
    <row r="79" spans="11:46" x14ac:dyDescent="0.25">
      <c r="K79"/>
      <c r="P79"/>
      <c r="V79"/>
    </row>
    <row r="80" spans="11:46" x14ac:dyDescent="0.25">
      <c r="K80"/>
      <c r="P80"/>
      <c r="V80"/>
    </row>
    <row r="81" spans="1:22" x14ac:dyDescent="0.25">
      <c r="K81"/>
      <c r="P81"/>
      <c r="V81"/>
    </row>
    <row r="82" spans="1:22" x14ac:dyDescent="0.25">
      <c r="K82"/>
      <c r="P82"/>
      <c r="V82"/>
    </row>
    <row r="83" spans="1:22" x14ac:dyDescent="0.25">
      <c r="K83"/>
      <c r="P83"/>
      <c r="V83"/>
    </row>
    <row r="84" spans="1:22" x14ac:dyDescent="0.25">
      <c r="K84"/>
      <c r="N84" s="294"/>
      <c r="P84"/>
      <c r="V84"/>
    </row>
    <row r="85" spans="1:22" x14ac:dyDescent="0.25">
      <c r="K85"/>
      <c r="P85"/>
      <c r="V85"/>
    </row>
    <row r="86" spans="1:22" x14ac:dyDescent="0.25">
      <c r="K86"/>
      <c r="P86"/>
    </row>
    <row r="87" spans="1:22" x14ac:dyDescent="0.25">
      <c r="K87"/>
      <c r="P87"/>
    </row>
    <row r="88" spans="1:22" x14ac:dyDescent="0.25">
      <c r="A88" s="263"/>
      <c r="B88" s="244"/>
      <c r="C88" s="244"/>
      <c r="D88" s="34"/>
      <c r="E88" s="171"/>
      <c r="F88" s="267"/>
      <c r="G88" s="168"/>
      <c r="H88" s="166"/>
      <c r="I88" s="196"/>
      <c r="J88" s="171"/>
      <c r="K88"/>
      <c r="P88"/>
    </row>
    <row r="89" spans="1:22" x14ac:dyDescent="0.25">
      <c r="A89" s="263"/>
      <c r="B89" s="244"/>
      <c r="C89" s="244"/>
      <c r="D89" s="34"/>
      <c r="E89" s="171"/>
      <c r="F89" s="267"/>
      <c r="G89" s="168"/>
      <c r="H89" s="166"/>
      <c r="I89" s="196"/>
      <c r="J89" s="171"/>
      <c r="K89"/>
      <c r="P89"/>
    </row>
    <row r="90" spans="1:22" x14ac:dyDescent="0.25">
      <c r="A90" s="263"/>
      <c r="B90" s="244"/>
      <c r="C90" s="244"/>
      <c r="D90" s="34"/>
      <c r="E90" s="171"/>
      <c r="F90" s="267"/>
      <c r="G90" s="168"/>
      <c r="H90" s="166"/>
      <c r="I90" s="196"/>
      <c r="J90" s="171"/>
      <c r="K90"/>
      <c r="P90"/>
    </row>
    <row r="91" spans="1:22" x14ac:dyDescent="0.25">
      <c r="A91" s="263"/>
      <c r="B91" s="244"/>
      <c r="C91" s="244"/>
      <c r="D91" s="245"/>
      <c r="E91" s="171"/>
      <c r="F91" s="267"/>
      <c r="G91" s="168"/>
      <c r="H91" s="166"/>
      <c r="I91" s="196"/>
      <c r="J91" s="171"/>
      <c r="K91"/>
      <c r="P91"/>
    </row>
    <row r="92" spans="1:22" x14ac:dyDescent="0.25">
      <c r="A92" s="263"/>
      <c r="B92" s="207"/>
      <c r="C92" s="244"/>
      <c r="D92" s="245"/>
      <c r="E92" s="171"/>
      <c r="F92" s="267"/>
      <c r="G92" s="168"/>
      <c r="H92" s="166"/>
      <c r="I92" s="196"/>
      <c r="J92" s="171"/>
      <c r="K92"/>
      <c r="P92"/>
    </row>
    <row r="93" spans="1:22" x14ac:dyDescent="0.25">
      <c r="A93" s="263"/>
      <c r="B93" s="207"/>
      <c r="C93" s="244"/>
      <c r="D93" s="171"/>
      <c r="E93" s="171"/>
      <c r="F93" s="267"/>
      <c r="G93" s="168"/>
      <c r="H93" s="166"/>
      <c r="I93" s="196"/>
      <c r="J93" s="171"/>
      <c r="K93"/>
      <c r="P93"/>
    </row>
    <row r="94" spans="1:22" x14ac:dyDescent="0.25">
      <c r="A94" s="263"/>
      <c r="B94" s="207"/>
      <c r="C94" s="244"/>
      <c r="D94" s="245"/>
      <c r="E94" s="171"/>
      <c r="F94" s="267"/>
      <c r="G94" s="168"/>
      <c r="H94" s="166"/>
      <c r="I94" s="196"/>
      <c r="J94" s="171"/>
      <c r="K94"/>
      <c r="P94"/>
    </row>
    <row r="95" spans="1:22" x14ac:dyDescent="0.25">
      <c r="A95" s="263"/>
      <c r="B95" s="207"/>
      <c r="C95" s="244"/>
      <c r="D95" s="246"/>
      <c r="E95" s="171"/>
      <c r="F95" s="267"/>
      <c r="G95" s="168"/>
      <c r="H95" s="166"/>
      <c r="I95" s="196"/>
      <c r="J95" s="171"/>
      <c r="K95"/>
      <c r="P95"/>
    </row>
    <row r="96" spans="1:22" x14ac:dyDescent="0.25">
      <c r="A96" s="263"/>
      <c r="B96" s="207"/>
      <c r="C96" s="244"/>
      <c r="D96" s="246"/>
      <c r="E96" s="171"/>
      <c r="F96" s="267"/>
      <c r="G96" s="168"/>
      <c r="H96" s="166"/>
      <c r="I96" s="196"/>
      <c r="J96" s="171"/>
      <c r="K96"/>
      <c r="P96"/>
    </row>
    <row r="97" spans="1:16" x14ac:dyDescent="0.25">
      <c r="A97" s="263"/>
      <c r="B97" s="207"/>
      <c r="C97" s="244"/>
      <c r="D97" s="246"/>
      <c r="E97" s="171"/>
      <c r="F97" s="267"/>
      <c r="G97" s="168"/>
      <c r="H97" s="166"/>
      <c r="I97" s="196"/>
      <c r="J97" s="171"/>
      <c r="K97"/>
      <c r="P97"/>
    </row>
    <row r="98" spans="1:16" x14ac:dyDescent="0.25">
      <c r="A98" s="263"/>
      <c r="B98" s="247"/>
      <c r="C98" s="244"/>
      <c r="D98" s="246"/>
      <c r="E98" s="171"/>
      <c r="F98" s="267"/>
      <c r="G98" s="168"/>
      <c r="H98" s="166"/>
      <c r="I98" s="196"/>
      <c r="J98" s="171"/>
      <c r="K98"/>
      <c r="P98"/>
    </row>
    <row r="99" spans="1:16" x14ac:dyDescent="0.25">
      <c r="A99" s="263"/>
      <c r="B99" s="247"/>
      <c r="C99" s="244"/>
      <c r="D99" s="246"/>
      <c r="E99" s="171"/>
      <c r="F99" s="267"/>
      <c r="G99" s="168"/>
      <c r="H99" s="166"/>
      <c r="I99" s="196"/>
      <c r="J99" s="171"/>
    </row>
    <row r="100" spans="1:16" x14ac:dyDescent="0.25">
      <c r="A100" s="263"/>
      <c r="B100" s="247"/>
      <c r="C100" s="244"/>
      <c r="D100" s="246"/>
      <c r="E100" s="171"/>
      <c r="F100" s="267"/>
      <c r="G100" s="168"/>
      <c r="H100" s="166"/>
      <c r="I100" s="196"/>
      <c r="J100" s="171"/>
    </row>
    <row r="101" spans="1:16" x14ac:dyDescent="0.25">
      <c r="A101" s="263"/>
      <c r="B101" s="247"/>
      <c r="C101" s="244"/>
      <c r="D101" s="246"/>
      <c r="E101" s="171"/>
      <c r="F101" s="267"/>
      <c r="G101" s="168"/>
      <c r="H101" s="166"/>
      <c r="I101" s="196"/>
      <c r="J101" s="171"/>
    </row>
  </sheetData>
  <sheetProtection sheet="1" objects="1" scenarios="1"/>
  <dataConsolidate/>
  <mergeCells count="4">
    <mergeCell ref="A1:H2"/>
    <mergeCell ref="K1:T2"/>
    <mergeCell ref="U1:AH2"/>
    <mergeCell ref="AI1:AT2"/>
  </mergeCells>
  <dataValidations count="7">
    <dataValidation type="list" allowBlank="1" showInputMessage="1" showErrorMessage="1" sqref="Z4">
      <formula1>"N/A"</formula1>
    </dataValidation>
    <dataValidation type="list" allowBlank="1" showInputMessage="1" showErrorMessage="1" sqref="AA61:AB61 H88:H100 G88:G101 G5:H10 Q5:Q7">
      <formula1>"UNTESTED,FAIL,PASS"</formula1>
    </dataValidation>
    <dataValidation type="list" allowBlank="1" showInputMessage="1" showErrorMessage="1" sqref="X61 X58 X66">
      <formula1>"PCB-DX3-002"</formula1>
    </dataValidation>
    <dataValidation type="list" operator="equal" allowBlank="1" showInputMessage="1" showErrorMessage="1" sqref="AL73 AA4:AB4 R5">
      <formula1>"UNTESTED,FAIL"</formula1>
    </dataValidation>
    <dataValidation type="list" allowBlank="1" showInputMessage="1" showErrorMessage="1" sqref="AA58:AA59 I3:I10">
      <formula1>"PCB-A-002,PCB-A-004,PCB-A-006"</formula1>
    </dataValidation>
    <dataValidation type="date" operator="greaterThan" allowBlank="1" showInputMessage="1" showErrorMessage="1" sqref="F121:F132 F88:F101">
      <formula1>36526</formula1>
    </dataValidation>
    <dataValidation type="list" allowBlank="1" showInputMessage="1" showErrorMessage="1" sqref="H101 H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10</xdr:col>
                    <xdr:colOff>527050</xdr:colOff>
                    <xdr:row>0</xdr:row>
                    <xdr:rowOff>107950</xdr:rowOff>
                  </from>
                  <to>
                    <xdr:col>12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20</xdr:col>
                    <xdr:colOff>450850</xdr:colOff>
                    <xdr:row>0</xdr:row>
                    <xdr:rowOff>76200</xdr:rowOff>
                  </from>
                  <to>
                    <xdr:col>22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34</xdr:col>
                    <xdr:colOff>342900</xdr:colOff>
                    <xdr:row>0</xdr:row>
                    <xdr:rowOff>31750</xdr:rowOff>
                  </from>
                  <to>
                    <xdr:col>35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31</xdr:col>
                    <xdr:colOff>704850</xdr:colOff>
                    <xdr:row>0</xdr:row>
                    <xdr:rowOff>76200</xdr:rowOff>
                  </from>
                  <to>
                    <xdr:col>33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26953125" customWidth="1"/>
    <col min="2" max="2" width="17.453125" customWidth="1"/>
    <col min="3" max="5" width="16.26953125" customWidth="1"/>
    <col min="6" max="6" width="10.26953125" customWidth="1"/>
    <col min="7" max="7" width="10.453125" customWidth="1"/>
    <col min="8" max="8" width="10.7265625" customWidth="1"/>
    <col min="9" max="9" width="19.7265625" bestFit="1" customWidth="1"/>
    <col min="10" max="10" width="17.26953125" customWidth="1"/>
    <col min="11" max="12" width="18.7265625" customWidth="1"/>
    <col min="13" max="13" width="14.7265625" customWidth="1"/>
    <col min="14" max="16" width="10.7265625" customWidth="1"/>
    <col min="17" max="17" width="15.26953125" customWidth="1"/>
    <col min="18" max="19" width="11.7265625" customWidth="1"/>
    <col min="20" max="20" width="13.7265625" customWidth="1"/>
    <col min="21" max="21" width="10" customWidth="1"/>
    <col min="22" max="22" width="10" hidden="1" customWidth="1"/>
    <col min="23" max="24" width="10.26953125" customWidth="1"/>
    <col min="25" max="25" width="10.26953125" hidden="1" customWidth="1"/>
    <col min="26" max="26" width="16.453125" customWidth="1"/>
    <col min="27" max="27" width="13.26953125" customWidth="1"/>
    <col min="28" max="28" width="15.7265625" customWidth="1"/>
    <col min="29" max="29" width="15" customWidth="1"/>
    <col min="30" max="30" width="15.26953125" customWidth="1"/>
    <col min="31" max="31" width="14.7265625" customWidth="1"/>
    <col min="32" max="34" width="9.7265625" customWidth="1"/>
    <col min="35" max="35" width="10.26953125" customWidth="1"/>
    <col min="36" max="37" width="8.7265625" customWidth="1"/>
    <col min="38" max="38" width="8.7265625" hidden="1" customWidth="1"/>
    <col min="39" max="39" width="11.453125" customWidth="1"/>
    <col min="40" max="41" width="10.453125" customWidth="1"/>
    <col min="42" max="42" width="10.7265625" customWidth="1"/>
    <col min="43" max="43" width="10" customWidth="1"/>
    <col min="44" max="44" width="12.7265625" customWidth="1"/>
    <col min="45" max="45" width="10" customWidth="1"/>
    <col min="46" max="46" width="9.453125" customWidth="1"/>
    <col min="48" max="48" width="10.26953125" customWidth="1"/>
    <col min="49" max="49" width="10" customWidth="1"/>
    <col min="51" max="51" width="14.54296875" customWidth="1"/>
    <col min="52" max="52" width="13.26953125" customWidth="1"/>
    <col min="53" max="53" width="11.7265625" customWidth="1"/>
    <col min="54" max="54" width="16.7265625" customWidth="1"/>
    <col min="55" max="55" width="13.26953125" customWidth="1"/>
    <col min="56" max="56" width="13.7265625" customWidth="1"/>
    <col min="57" max="57" width="14.7265625" customWidth="1"/>
  </cols>
  <sheetData>
    <row r="1" spans="1:57" ht="34.5" customHeight="1" x14ac:dyDescent="0.25">
      <c r="A1" s="322" t="s">
        <v>1610</v>
      </c>
      <c r="B1" s="323"/>
      <c r="C1" s="323"/>
      <c r="D1" s="323"/>
      <c r="E1" s="323"/>
      <c r="F1" s="323"/>
      <c r="G1" s="323"/>
      <c r="H1" s="324"/>
      <c r="I1" s="328" t="s">
        <v>1619</v>
      </c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8"/>
      <c r="W1" s="328"/>
      <c r="X1" s="328"/>
      <c r="Y1" s="328"/>
      <c r="Z1" s="328"/>
      <c r="AA1" s="328"/>
      <c r="AB1" s="328"/>
      <c r="AC1" s="328"/>
      <c r="AD1" s="328"/>
      <c r="AE1" s="328"/>
      <c r="AF1" s="328"/>
      <c r="AG1" s="328"/>
      <c r="AH1" s="328"/>
      <c r="AI1" s="328"/>
      <c r="AJ1" s="329" t="s">
        <v>1632</v>
      </c>
      <c r="AK1" s="330"/>
      <c r="AL1" s="330"/>
      <c r="AM1" s="331"/>
      <c r="AN1" s="331"/>
      <c r="AO1" s="331"/>
      <c r="AP1" s="331"/>
      <c r="AQ1" s="332"/>
      <c r="AR1" s="336" t="s">
        <v>1634</v>
      </c>
      <c r="AS1" s="337"/>
      <c r="AT1" s="337"/>
      <c r="AU1" s="337"/>
      <c r="AV1" s="337"/>
      <c r="AW1" s="337"/>
      <c r="AX1" s="337"/>
      <c r="AY1" s="337"/>
      <c r="AZ1" s="337"/>
      <c r="BA1" s="337"/>
      <c r="BB1" s="338"/>
      <c r="BC1" s="312" t="s">
        <v>1612</v>
      </c>
      <c r="BD1" s="312"/>
      <c r="BE1" s="312"/>
    </row>
    <row r="2" spans="1:57" ht="25.5" customHeight="1" x14ac:dyDescent="0.25">
      <c r="A2" s="325"/>
      <c r="B2" s="326"/>
      <c r="C2" s="326"/>
      <c r="D2" s="326"/>
      <c r="E2" s="326"/>
      <c r="F2" s="326"/>
      <c r="G2" s="326"/>
      <c r="H2" s="327"/>
      <c r="I2" s="316" t="s">
        <v>1617</v>
      </c>
      <c r="J2" s="317"/>
      <c r="K2" s="317"/>
      <c r="L2" s="317"/>
      <c r="M2" s="317"/>
      <c r="N2" s="317"/>
      <c r="O2" s="318"/>
      <c r="P2" s="319" t="s">
        <v>1616</v>
      </c>
      <c r="Q2" s="320"/>
      <c r="R2" s="320"/>
      <c r="S2" s="320"/>
      <c r="T2" s="320"/>
      <c r="U2" s="320"/>
      <c r="V2" s="321"/>
      <c r="W2" s="313" t="s">
        <v>1635</v>
      </c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5"/>
      <c r="AJ2" s="333"/>
      <c r="AK2" s="334"/>
      <c r="AL2" s="334"/>
      <c r="AM2" s="334"/>
      <c r="AN2" s="334"/>
      <c r="AO2" s="334"/>
      <c r="AP2" s="334"/>
      <c r="AQ2" s="335"/>
      <c r="AR2" s="339"/>
      <c r="AS2" s="340"/>
      <c r="AT2" s="340"/>
      <c r="AU2" s="340"/>
      <c r="AV2" s="340"/>
      <c r="AW2" s="340"/>
      <c r="AX2" s="340"/>
      <c r="AY2" s="340"/>
      <c r="AZ2" s="340"/>
      <c r="BA2" s="340"/>
      <c r="BB2" s="341"/>
      <c r="BC2" s="312"/>
      <c r="BD2" s="312"/>
      <c r="BE2" s="312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1708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1709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1710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209550</xdr:colOff>
                    <xdr:row>0</xdr:row>
                    <xdr:rowOff>247650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400050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361950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95250</xdr:rowOff>
                  </from>
                  <to>
                    <xdr:col>23</xdr:col>
                    <xdr:colOff>679450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400050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247650</xdr:rowOff>
                  </from>
                  <to>
                    <xdr:col>45</xdr:col>
                    <xdr:colOff>285750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Automation!$D$10:$D$12</xm:f>
          </x14:formula1>
          <xm:sqref>AI33:AI39 AI27:AI31 AV4:AW4</xm:sqref>
        </x14:dataValidation>
        <x14:dataValidation type="list" allowBlank="1" showInputMessage="1" showErrorMessage="1">
          <x14:formula1>
            <xm:f>Automation!$F$10:$F$15</xm:f>
          </x14:formula1>
          <xm:sqref>AT4</xm:sqref>
        </x14:dataValidation>
        <x14:dataValidation type="list" allowBlank="1" showInputMessage="1" showErrorMessage="1">
          <x14:formula1>
            <xm:f>Automation!$H$10:$H$15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T66"/>
  <sheetViews>
    <sheetView zoomScaleNormal="100" workbookViewId="0">
      <selection activeCell="Y16" sqref="Y16"/>
    </sheetView>
  </sheetViews>
  <sheetFormatPr defaultRowHeight="12.5" x14ac:dyDescent="0.25"/>
  <cols>
    <col min="1" max="1" width="15.7265625" style="218" customWidth="1"/>
    <col min="2" max="2" width="23" style="218" customWidth="1"/>
    <col min="3" max="3" width="20" style="218" customWidth="1"/>
    <col min="4" max="4" width="10.7265625" style="218" customWidth="1"/>
    <col min="5" max="5" width="18.7265625" style="218" customWidth="1"/>
    <col min="6" max="7" width="10.453125" style="218" bestFit="1" customWidth="1"/>
    <col min="8" max="8" width="18.453125" style="218" customWidth="1"/>
    <col min="9" max="9" width="15.54296875" style="218" hidden="1" customWidth="1"/>
    <col min="10" max="10" width="24" style="218" hidden="1" customWidth="1"/>
    <col min="11" max="11" width="15.26953125" style="218" hidden="1" customWidth="1"/>
    <col min="12" max="12" width="8.7265625" style="218" hidden="1" customWidth="1"/>
    <col min="13" max="13" width="10.7265625" style="218" hidden="1" customWidth="1"/>
    <col min="14" max="14" width="24.7265625" style="218" hidden="1" customWidth="1"/>
    <col min="15" max="15" width="10" style="218" hidden="1" customWidth="1"/>
    <col min="16" max="16" width="15.26953125" style="218" hidden="1" customWidth="1"/>
    <col min="17" max="21" width="14.7265625" style="218" hidden="1" customWidth="1"/>
    <col min="22" max="22" width="8.7265625" style="218"/>
    <col min="23" max="23" width="12.54296875" style="218" customWidth="1"/>
    <col min="24" max="24" width="10" style="218" customWidth="1"/>
    <col min="25" max="25" width="17.54296875" style="218" bestFit="1" customWidth="1"/>
    <col min="26" max="26" width="11.26953125" style="218" customWidth="1"/>
    <col min="27" max="27" width="11.54296875" style="218" customWidth="1"/>
    <col min="28" max="28" width="10.7265625" style="218" customWidth="1"/>
    <col min="29" max="29" width="19.08984375" style="218" customWidth="1"/>
    <col min="30" max="30" width="21.81640625" style="218" customWidth="1"/>
    <col min="31" max="31" width="18.6328125" style="218" customWidth="1"/>
    <col min="32" max="32" width="18.81640625" style="218" customWidth="1"/>
    <col min="33" max="33" width="19.08984375" style="218" customWidth="1"/>
    <col min="34" max="34" width="18.81640625" style="218" customWidth="1"/>
    <col min="35" max="35" width="12.54296875" style="218" customWidth="1"/>
    <col min="36" max="36" width="11.54296875" style="218" customWidth="1"/>
    <col min="37" max="37" width="12.54296875" style="218" customWidth="1"/>
    <col min="38" max="38" width="11.26953125" style="218" customWidth="1"/>
    <col min="39" max="39" width="11.54296875" style="218" customWidth="1"/>
    <col min="40" max="40" width="11.7265625" style="218" customWidth="1"/>
    <col min="41" max="41" width="13.26953125" style="218" customWidth="1"/>
    <col min="42" max="42" width="15.7265625" style="218" customWidth="1"/>
    <col min="43" max="43" width="25.26953125" style="218" customWidth="1"/>
    <col min="44" max="45" width="20.54296875" style="218" customWidth="1"/>
    <col min="46" max="46" width="24.26953125" style="218" customWidth="1"/>
    <col min="47" max="16384" width="8.7265625" style="218"/>
  </cols>
  <sheetData>
    <row r="1" spans="1:46" x14ac:dyDescent="0.25">
      <c r="A1" s="342" t="s">
        <v>1685</v>
      </c>
      <c r="B1" s="342"/>
      <c r="C1" s="342"/>
      <c r="D1" s="342"/>
      <c r="E1" s="342"/>
      <c r="F1" s="342"/>
      <c r="G1" s="342"/>
      <c r="H1" s="342"/>
      <c r="I1" s="343" t="s">
        <v>1696</v>
      </c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  <c r="V1" s="344" t="s">
        <v>1715</v>
      </c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4"/>
      <c r="AI1" s="345" t="s">
        <v>1702</v>
      </c>
      <c r="AJ1" s="345"/>
      <c r="AK1" s="345"/>
      <c r="AL1" s="345"/>
      <c r="AM1" s="345"/>
      <c r="AN1" s="345"/>
      <c r="AO1" s="345"/>
      <c r="AP1" s="345"/>
      <c r="AQ1" s="345"/>
      <c r="AR1" s="345"/>
      <c r="AS1" s="345"/>
      <c r="AT1" s="345"/>
    </row>
    <row r="2" spans="1:46" x14ac:dyDescent="0.25">
      <c r="A2" s="342"/>
      <c r="B2" s="342"/>
      <c r="C2" s="342"/>
      <c r="D2" s="342"/>
      <c r="E2" s="342"/>
      <c r="F2" s="342"/>
      <c r="G2" s="342"/>
      <c r="H2" s="342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5"/>
      <c r="AJ2" s="345"/>
      <c r="AK2" s="345"/>
      <c r="AL2" s="345"/>
      <c r="AM2" s="345"/>
      <c r="AN2" s="345"/>
      <c r="AO2" s="345"/>
      <c r="AP2" s="345"/>
      <c r="AQ2" s="345"/>
      <c r="AR2" s="345"/>
      <c r="AS2" s="345"/>
      <c r="AT2" s="345"/>
    </row>
    <row r="3" spans="1:46" ht="33" customHeight="1" x14ac:dyDescent="0.25">
      <c r="A3" s="280" t="s">
        <v>692</v>
      </c>
      <c r="B3" s="280" t="s">
        <v>1714</v>
      </c>
      <c r="C3" s="280" t="s">
        <v>2</v>
      </c>
      <c r="D3" s="280" t="s">
        <v>1637</v>
      </c>
      <c r="E3" s="280" t="s">
        <v>1613</v>
      </c>
      <c r="F3" s="281" t="s">
        <v>1686</v>
      </c>
      <c r="G3" s="281" t="s">
        <v>1687</v>
      </c>
      <c r="H3" s="281" t="s">
        <v>1645</v>
      </c>
      <c r="I3" s="282" t="s">
        <v>692</v>
      </c>
      <c r="J3" s="283" t="s">
        <v>693</v>
      </c>
      <c r="K3" s="282" t="s">
        <v>1688</v>
      </c>
      <c r="L3" s="282" t="s">
        <v>1659</v>
      </c>
      <c r="M3" s="282" t="s">
        <v>1637</v>
      </c>
      <c r="N3" s="283" t="s">
        <v>1613</v>
      </c>
      <c r="O3" s="284" t="s">
        <v>1689</v>
      </c>
      <c r="P3" s="284" t="s">
        <v>1690</v>
      </c>
      <c r="Q3" s="284" t="s">
        <v>1691</v>
      </c>
      <c r="R3" s="284" t="s">
        <v>1692</v>
      </c>
      <c r="S3" s="284" t="s">
        <v>1693</v>
      </c>
      <c r="T3" s="284" t="s">
        <v>1694</v>
      </c>
      <c r="U3" s="284" t="s">
        <v>1695</v>
      </c>
      <c r="V3" s="285" t="s">
        <v>1664</v>
      </c>
      <c r="W3" s="224" t="s">
        <v>1703</v>
      </c>
      <c r="X3" s="285" t="s">
        <v>1659</v>
      </c>
      <c r="Y3" s="285" t="s">
        <v>1697</v>
      </c>
      <c r="Z3" s="285" t="s">
        <v>1698</v>
      </c>
      <c r="AA3" s="224" t="s">
        <v>1689</v>
      </c>
      <c r="AB3" s="224" t="s">
        <v>1637</v>
      </c>
      <c r="AC3" s="224" t="s">
        <v>1705</v>
      </c>
      <c r="AD3" s="224" t="s">
        <v>1691</v>
      </c>
      <c r="AE3" s="224" t="s">
        <v>1692</v>
      </c>
      <c r="AF3" s="224" t="s">
        <v>1693</v>
      </c>
      <c r="AG3" s="224" t="s">
        <v>1694</v>
      </c>
      <c r="AH3" s="224" t="s">
        <v>1695</v>
      </c>
      <c r="AI3" s="234" t="s">
        <v>1713</v>
      </c>
      <c r="AJ3" s="234" t="s">
        <v>1704</v>
      </c>
      <c r="AK3" s="235" t="s">
        <v>1659</v>
      </c>
      <c r="AL3" s="235" t="s">
        <v>1699</v>
      </c>
      <c r="AM3" s="235" t="s">
        <v>1700</v>
      </c>
      <c r="AN3" s="235" t="s">
        <v>1701</v>
      </c>
      <c r="AO3" s="235" t="s">
        <v>1622</v>
      </c>
      <c r="AP3" s="236" t="s">
        <v>5</v>
      </c>
      <c r="AQ3" s="236" t="s">
        <v>1615</v>
      </c>
      <c r="AR3" s="236" t="s">
        <v>194</v>
      </c>
      <c r="AS3" s="236" t="s">
        <v>195</v>
      </c>
      <c r="AT3" s="236" t="s">
        <v>6</v>
      </c>
    </row>
    <row r="4" spans="1:46" x14ac:dyDescent="0.25">
      <c r="A4" s="185"/>
      <c r="B4" s="185"/>
      <c r="C4" s="185"/>
      <c r="D4" s="185">
        <f>IF(COUNTIFS(VAP01_Assembly[VAP100B SN],VAP100B[[#This Row],[Sub-contractor Serial Number]])=1,IF(AND(VAP100B[[#This Row],[QAI0010]]="PASS",VAP100B[[#This Row],[TP0041]]="PASS"),1,0),0)</f>
        <v>0</v>
      </c>
      <c r="E4" s="183"/>
      <c r="F4" s="183"/>
      <c r="G4" s="183"/>
      <c r="H4" s="185" t="str">
        <f>IF(AND(VAP100B[[#This Row],[QAI0010]]="PASS",VAP100B[[#This Row],[TP0041]]="PASS",VAP100B[[#This Row],[Assigned]]=0),VAP100B[[#This Row],[Sub-contractor Serial Number]],"")</f>
        <v/>
      </c>
      <c r="V4" s="185"/>
      <c r="W4" s="185"/>
      <c r="X4" s="185"/>
      <c r="Y4" s="183"/>
      <c r="Z4" s="183"/>
      <c r="AA4" s="183"/>
      <c r="AB4" s="185">
        <f>IF(AND(COUNTIF(VAP01_Destination[VAP01 ID], VAP01_Assembly[[#This Row],[ID]])=1,VAP01_Assembly[[#This Row],[TP0016]]="PASS",VAP01_Assembly[[#This Row],[QAI0011]]="PASS"),1,0)</f>
        <v>0</v>
      </c>
      <c r="AC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231">
        <v>0</v>
      </c>
      <c r="AJ4" s="231"/>
      <c r="AK4" s="232"/>
      <c r="AL4" s="232"/>
      <c r="AM4" s="232"/>
      <c r="AN4" s="232"/>
      <c r="AO4" s="232"/>
      <c r="AP4" s="252"/>
      <c r="AQ4" s="233"/>
      <c r="AR4" s="233"/>
      <c r="AS4" s="233"/>
      <c r="AT4" s="233"/>
    </row>
    <row r="5" spans="1:46" x14ac:dyDescent="0.25">
      <c r="A5" s="286">
        <v>43818</v>
      </c>
      <c r="B5" s="272">
        <v>109281</v>
      </c>
      <c r="C5" s="272" t="s">
        <v>1822</v>
      </c>
      <c r="D5" s="272">
        <f>IF(COUNTIFS(VAP01_Assembly[VAP100B SN],VAP100B[[#This Row],[Sub-contractor Serial Number]])=1,IF(AND(VAP100B[[#This Row],[QAI0010]]="PASS",VAP100B[[#This Row],[TP0041]]="PASS"),1,0),0)</f>
        <v>1</v>
      </c>
      <c r="E5" s="271">
        <v>44124</v>
      </c>
      <c r="F5" s="272" t="s">
        <v>1641</v>
      </c>
      <c r="G5" s="272" t="s">
        <v>1641</v>
      </c>
      <c r="H5" s="287" t="str">
        <f>IF(AND(VAP100B[[#This Row],[QAI0010]]="PASS",VAP100B[[#This Row],[TP0041]]="PASS",VAP100B[[#This Row],[Assigned]]=0),VAP100B[[#This Row],[Sub-contractor Serial Number]],"")</f>
        <v/>
      </c>
      <c r="V5" s="185" t="s">
        <v>1837</v>
      </c>
      <c r="W5" s="288">
        <v>44130</v>
      </c>
      <c r="X5" s="185" t="s">
        <v>623</v>
      </c>
      <c r="Y5" s="183" t="s">
        <v>1822</v>
      </c>
      <c r="Z5" s="183" t="s">
        <v>1641</v>
      </c>
      <c r="AA5" s="183" t="s">
        <v>1644</v>
      </c>
      <c r="AB5" s="243">
        <f>IF(AND(COUNTIF(VAP01_Destination[VAP01 ID], VAP01_Assembly[[#This Row],[ID]])=1,VAP01_Assembly[[#This Row],[TP0016]]="PASS",VAP01_Assembly[[#This Row],[QAI0011]]="PASS"),1,0)</f>
        <v>0</v>
      </c>
      <c r="AC5" s="24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5" s="24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5" s="24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5" s="24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4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4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</row>
    <row r="6" spans="1:46" x14ac:dyDescent="0.25">
      <c r="A6" s="289">
        <v>43818</v>
      </c>
      <c r="B6" s="200">
        <v>109281</v>
      </c>
      <c r="C6" s="200" t="s">
        <v>1835</v>
      </c>
      <c r="D6" s="200">
        <f>IF(COUNTIFS(VAP01_Assembly[VAP100B SN],VAP100B[[#This Row],[Sub-contractor Serial Number]])=1,IF(AND(VAP100B[[#This Row],[QAI0010]]="PASS",VAP100B[[#This Row],[TP0041]]="PASS"),1,0),0)</f>
        <v>0</v>
      </c>
      <c r="E6" s="258">
        <v>44126</v>
      </c>
      <c r="F6" s="200" t="s">
        <v>1641</v>
      </c>
      <c r="G6" s="200" t="s">
        <v>1641</v>
      </c>
      <c r="H6" s="213" t="str">
        <f>IF(AND(VAP100B[[#This Row],[QAI0010]]="PASS",VAP100B[[#This Row],[TP0041]]="PASS",VAP100B[[#This Row],[Assigned]]=0),VAP100B[[#This Row],[Sub-contractor Serial Number]],"")</f>
        <v>QZ/834112/1119/AB</v>
      </c>
      <c r="V6"/>
      <c r="W6"/>
      <c r="X6"/>
      <c r="Y6"/>
      <c r="Z6"/>
      <c r="AA6"/>
      <c r="AB6"/>
      <c r="AC6"/>
      <c r="AD6"/>
      <c r="AE6"/>
      <c r="AF6"/>
      <c r="AG6"/>
      <c r="AH6"/>
    </row>
    <row r="7" spans="1:46" x14ac:dyDescent="0.25">
      <c r="V7"/>
      <c r="W7"/>
      <c r="X7"/>
      <c r="Y7"/>
      <c r="Z7"/>
      <c r="AA7"/>
      <c r="AB7"/>
      <c r="AC7"/>
      <c r="AD7"/>
      <c r="AE7"/>
      <c r="AF7"/>
      <c r="AG7"/>
      <c r="AH7"/>
    </row>
    <row r="8" spans="1:46" x14ac:dyDescent="0.25">
      <c r="V8"/>
      <c r="W8"/>
      <c r="X8"/>
      <c r="Y8"/>
      <c r="Z8"/>
      <c r="AA8"/>
      <c r="AB8"/>
      <c r="AC8"/>
      <c r="AD8"/>
      <c r="AE8"/>
      <c r="AF8"/>
      <c r="AG8"/>
      <c r="AH8"/>
    </row>
    <row r="9" spans="1:46" x14ac:dyDescent="0.25">
      <c r="V9"/>
      <c r="W9"/>
      <c r="X9"/>
      <c r="Y9"/>
      <c r="Z9"/>
      <c r="AA9"/>
      <c r="AB9"/>
      <c r="AC9"/>
      <c r="AD9"/>
      <c r="AE9"/>
      <c r="AF9"/>
      <c r="AG9"/>
      <c r="AH9"/>
    </row>
    <row r="10" spans="1:46" x14ac:dyDescent="0.25"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46" x14ac:dyDescent="0.25"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62" spans="1:25" x14ac:dyDescent="0.25">
      <c r="A62" s="290"/>
      <c r="B62" s="290"/>
      <c r="C62" s="170"/>
      <c r="D62" s="170"/>
      <c r="E62" s="170"/>
      <c r="F62" s="170"/>
      <c r="G62" s="170"/>
      <c r="H62" s="196"/>
      <c r="V62" s="170"/>
      <c r="W62" s="170"/>
      <c r="X62" s="170"/>
      <c r="Y62" s="146"/>
    </row>
    <row r="63" spans="1:25" x14ac:dyDescent="0.25">
      <c r="A63" s="170"/>
      <c r="B63" s="170"/>
      <c r="C63" s="170"/>
      <c r="D63" s="170"/>
      <c r="E63" s="170"/>
      <c r="F63" s="170"/>
      <c r="G63" s="170"/>
      <c r="H63" s="170"/>
      <c r="V63" s="170"/>
      <c r="W63" s="170"/>
      <c r="X63" s="170"/>
      <c r="Y63" s="146"/>
    </row>
    <row r="64" spans="1:25" x14ac:dyDescent="0.25">
      <c r="A64" s="170"/>
      <c r="B64" s="170"/>
      <c r="C64" s="170"/>
      <c r="D64" s="170"/>
      <c r="E64" s="170"/>
      <c r="F64" s="170"/>
      <c r="G64" s="170"/>
      <c r="H64" s="170"/>
      <c r="V64" s="170"/>
      <c r="W64" s="170"/>
      <c r="X64" s="170"/>
      <c r="Y64" s="146"/>
    </row>
    <row r="65" spans="1:24" x14ac:dyDescent="0.25">
      <c r="A65" s="170"/>
      <c r="B65" s="170"/>
      <c r="C65" s="170"/>
      <c r="D65" s="170"/>
      <c r="E65" s="170"/>
      <c r="F65" s="170"/>
      <c r="G65" s="170"/>
      <c r="H65" s="170"/>
      <c r="V65" s="170"/>
      <c r="W65" s="170"/>
      <c r="X65" s="170"/>
    </row>
    <row r="66" spans="1:24" x14ac:dyDescent="0.25">
      <c r="A66" s="170"/>
      <c r="B66" s="170"/>
      <c r="C66" s="170"/>
      <c r="D66" s="170"/>
      <c r="E66" s="170"/>
      <c r="F66" s="170"/>
      <c r="G66" s="170"/>
      <c r="H66" s="170"/>
      <c r="V66" s="170"/>
      <c r="W66" s="170"/>
      <c r="X66" s="170"/>
    </row>
  </sheetData>
  <sheetProtection sheet="1" objects="1" scenarios="1"/>
  <mergeCells count="4">
    <mergeCell ref="A1:H2"/>
    <mergeCell ref="I1:U2"/>
    <mergeCell ref="V1:AH2"/>
    <mergeCell ref="AI1:AT2"/>
  </mergeCells>
  <dataValidations count="3">
    <dataValidation operator="equal" allowBlank="1" showInputMessage="1" showErrorMessage="1" sqref="Y1:Z4 AA12:AH1048576 V12:X1048576 A1:U1048576 V1:X5 AI1:XFD1048576 AA1:AH5 Y12:Z1048576"/>
    <dataValidation type="list" allowBlank="1" showInputMessage="1" showErrorMessage="1" sqref="Z5">
      <formula1>"UNTESTED,FAIL,PASS"</formula1>
    </dataValidation>
    <dataValidation type="list" allowBlank="1" showInputMessage="1" showErrorMessage="1" sqref="Y5">
      <formula1>"QZ/834104/1119/AB"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514350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21</xdr:col>
                    <xdr:colOff>412750</xdr:colOff>
                    <xdr:row>0</xdr:row>
                    <xdr:rowOff>95250</xdr:rowOff>
                  </from>
                  <to>
                    <xdr:col>23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34</xdr:col>
                    <xdr:colOff>228600</xdr:colOff>
                    <xdr:row>0</xdr:row>
                    <xdr:rowOff>107950</xdr:rowOff>
                  </from>
                  <to>
                    <xdr:col>37</xdr:col>
                    <xdr:colOff>146050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31</xdr:col>
                    <xdr:colOff>19050</xdr:colOff>
                    <xdr:row>0</xdr:row>
                    <xdr:rowOff>76200</xdr:rowOff>
                  </from>
                  <to>
                    <xdr:col>32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23"/>
  <sheetViews>
    <sheetView topLeftCell="B1" zoomScale="85" zoomScaleNormal="85" workbookViewId="0">
      <selection activeCell="D3" sqref="D3"/>
    </sheetView>
  </sheetViews>
  <sheetFormatPr defaultRowHeight="12.5" x14ac:dyDescent="0.25"/>
  <cols>
    <col min="2" max="2" width="10.453125" bestFit="1" customWidth="1"/>
    <col min="3" max="3" width="11.26953125" bestFit="1" customWidth="1"/>
    <col min="4" max="4" width="199.7265625" bestFit="1" customWidth="1"/>
    <col min="5" max="8" width="0" hidden="1" customWidth="1"/>
    <col min="9" max="9" width="8.7265625" hidden="1" customWidth="1"/>
    <col min="10" max="10" width="77.453125" bestFit="1" customWidth="1"/>
    <col min="11" max="11" width="11.54296875" style="227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1812</v>
      </c>
    </row>
    <row r="4" spans="3:8" x14ac:dyDescent="0.25">
      <c r="C4" s="144" t="s">
        <v>1683</v>
      </c>
      <c r="D4" s="144" t="s">
        <v>1813</v>
      </c>
    </row>
    <row r="5" spans="3:8" x14ac:dyDescent="0.25">
      <c r="C5" s="144" t="s">
        <v>1684</v>
      </c>
      <c r="D5" s="144" t="s">
        <v>1814</v>
      </c>
    </row>
    <row r="9" spans="3:8" x14ac:dyDescent="0.25">
      <c r="D9" t="s">
        <v>1643</v>
      </c>
      <c r="F9" s="119" t="s">
        <v>11</v>
      </c>
      <c r="H9" s="119" t="s">
        <v>9</v>
      </c>
    </row>
    <row r="10" spans="3:8" x14ac:dyDescent="0.25">
      <c r="D10" s="121" t="s">
        <v>1641</v>
      </c>
      <c r="F10">
        <v>100</v>
      </c>
      <c r="H10" s="119" t="s">
        <v>1646</v>
      </c>
    </row>
    <row r="11" spans="3:8" x14ac:dyDescent="0.25">
      <c r="D11" s="137" t="s">
        <v>1642</v>
      </c>
      <c r="F11">
        <v>110</v>
      </c>
      <c r="H11" s="119" t="s">
        <v>1647</v>
      </c>
    </row>
    <row r="12" spans="3:8" x14ac:dyDescent="0.25">
      <c r="D12" s="223" t="s">
        <v>1765</v>
      </c>
      <c r="F12">
        <v>120</v>
      </c>
      <c r="H12" s="119" t="s">
        <v>1648</v>
      </c>
    </row>
    <row r="13" spans="3:8" x14ac:dyDescent="0.25">
      <c r="F13">
        <v>230</v>
      </c>
      <c r="H13" s="119" t="s">
        <v>1649</v>
      </c>
    </row>
    <row r="14" spans="3:8" x14ac:dyDescent="0.25">
      <c r="F14">
        <v>240</v>
      </c>
      <c r="H14" s="119" t="s">
        <v>1650</v>
      </c>
    </row>
    <row r="15" spans="3:8" x14ac:dyDescent="0.25">
      <c r="F15">
        <v>250</v>
      </c>
      <c r="H15" s="119" t="s">
        <v>1651</v>
      </c>
    </row>
    <row r="24" spans="2:12" s="274" customFormat="1" ht="14.5" x14ac:dyDescent="0.35">
      <c r="C24" s="274" t="s">
        <v>1719</v>
      </c>
      <c r="J24" s="274" t="s">
        <v>1721</v>
      </c>
      <c r="K24" s="274" t="s">
        <v>1661</v>
      </c>
      <c r="L24" s="274" t="s">
        <v>1742</v>
      </c>
    </row>
    <row r="25" spans="2:12" ht="14.5" x14ac:dyDescent="0.35">
      <c r="B25" s="225"/>
      <c r="L25" s="229"/>
    </row>
    <row r="26" spans="2:12" ht="15.5" x14ac:dyDescent="0.35">
      <c r="B26" s="226" t="s">
        <v>1716</v>
      </c>
      <c r="L26" s="229"/>
    </row>
    <row r="27" spans="2:12" ht="14.5" x14ac:dyDescent="0.35">
      <c r="B27" s="225"/>
      <c r="C27" s="220" t="s">
        <v>1717</v>
      </c>
      <c r="D27" s="144" t="s">
        <v>1720</v>
      </c>
      <c r="J27" s="221" t="s">
        <v>1734</v>
      </c>
      <c r="L27" s="230"/>
    </row>
    <row r="28" spans="2:12" ht="14.5" x14ac:dyDescent="0.35">
      <c r="B28" s="225"/>
      <c r="C28" s="220" t="s">
        <v>1718</v>
      </c>
      <c r="D28" s="144" t="s">
        <v>1722</v>
      </c>
      <c r="G28" s="219"/>
      <c r="J28" s="222" t="s">
        <v>1723</v>
      </c>
      <c r="K28" s="227">
        <v>44061</v>
      </c>
      <c r="L28" s="230" t="s">
        <v>1745</v>
      </c>
    </row>
    <row r="29" spans="2:12" ht="14.5" x14ac:dyDescent="0.35">
      <c r="B29" s="225"/>
      <c r="C29" s="220" t="s">
        <v>1724</v>
      </c>
      <c r="D29" s="144" t="s">
        <v>1725</v>
      </c>
      <c r="J29" s="223" t="s">
        <v>1726</v>
      </c>
      <c r="L29" s="229"/>
    </row>
    <row r="30" spans="2:12" ht="14.5" x14ac:dyDescent="0.35">
      <c r="B30" s="225"/>
      <c r="C30" s="220" t="s">
        <v>1727</v>
      </c>
      <c r="D30" s="144" t="s">
        <v>1728</v>
      </c>
      <c r="J30" s="223" t="s">
        <v>1726</v>
      </c>
      <c r="L30" s="229"/>
    </row>
    <row r="31" spans="2:12" ht="14.5" x14ac:dyDescent="0.35">
      <c r="B31" s="225"/>
      <c r="C31" s="220" t="s">
        <v>1729</v>
      </c>
      <c r="D31" s="144" t="s">
        <v>1730</v>
      </c>
      <c r="J31" s="222" t="s">
        <v>1762</v>
      </c>
      <c r="K31" s="227">
        <v>44060</v>
      </c>
      <c r="L31" s="230" t="s">
        <v>1743</v>
      </c>
    </row>
    <row r="32" spans="2:12" x14ac:dyDescent="0.25">
      <c r="C32" s="6"/>
      <c r="L32" s="229"/>
    </row>
    <row r="33" spans="2:12" ht="15.5" x14ac:dyDescent="0.35">
      <c r="B33" s="226" t="s">
        <v>1731</v>
      </c>
      <c r="C33" s="6"/>
      <c r="L33" s="229"/>
    </row>
    <row r="34" spans="2:12" ht="14.5" x14ac:dyDescent="0.35">
      <c r="B34" s="225"/>
      <c r="C34" s="220" t="s">
        <v>1717</v>
      </c>
      <c r="D34" s="144" t="s">
        <v>1752</v>
      </c>
      <c r="J34" s="222" t="s">
        <v>1732</v>
      </c>
      <c r="K34" s="227">
        <v>44060</v>
      </c>
      <c r="L34" s="230" t="s">
        <v>1743</v>
      </c>
    </row>
    <row r="35" spans="2:12" ht="14.5" x14ac:dyDescent="0.35">
      <c r="B35" s="225"/>
      <c r="C35" s="220" t="s">
        <v>1718</v>
      </c>
      <c r="D35" s="144" t="s">
        <v>1753</v>
      </c>
      <c r="J35" s="222" t="s">
        <v>1733</v>
      </c>
      <c r="K35" s="227">
        <v>44060</v>
      </c>
      <c r="L35" s="230" t="s">
        <v>1743</v>
      </c>
    </row>
    <row r="36" spans="2:12" ht="14.5" x14ac:dyDescent="0.35">
      <c r="B36" s="225"/>
      <c r="C36" s="220" t="s">
        <v>1724</v>
      </c>
      <c r="D36" s="144" t="s">
        <v>1754</v>
      </c>
      <c r="J36" s="221" t="s">
        <v>1734</v>
      </c>
      <c r="L36" s="229"/>
    </row>
    <row r="37" spans="2:12" ht="14.5" x14ac:dyDescent="0.35">
      <c r="B37" s="225"/>
      <c r="C37" s="220" t="s">
        <v>1727</v>
      </c>
      <c r="D37" s="144" t="s">
        <v>1755</v>
      </c>
      <c r="J37" s="222" t="s">
        <v>1744</v>
      </c>
      <c r="K37" s="227">
        <v>44060</v>
      </c>
      <c r="L37" s="230" t="s">
        <v>1743</v>
      </c>
    </row>
    <row r="38" spans="2:12" ht="14.5" x14ac:dyDescent="0.35">
      <c r="B38" s="225"/>
      <c r="C38" s="220" t="s">
        <v>1729</v>
      </c>
      <c r="D38" s="144" t="s">
        <v>1756</v>
      </c>
      <c r="J38" s="222" t="s">
        <v>1723</v>
      </c>
      <c r="K38" s="227">
        <v>44060</v>
      </c>
      <c r="L38" s="230" t="s">
        <v>1743</v>
      </c>
    </row>
    <row r="39" spans="2:12" ht="14.5" x14ac:dyDescent="0.35">
      <c r="B39" s="225"/>
      <c r="C39" s="220" t="s">
        <v>1735</v>
      </c>
      <c r="D39" s="144" t="s">
        <v>1757</v>
      </c>
      <c r="J39" s="221" t="s">
        <v>1734</v>
      </c>
      <c r="L39" s="229"/>
    </row>
    <row r="40" spans="2:12" ht="14.5" x14ac:dyDescent="0.35">
      <c r="B40" s="225"/>
      <c r="C40" s="220" t="s">
        <v>1736</v>
      </c>
      <c r="D40" s="144" t="s">
        <v>1758</v>
      </c>
      <c r="J40" s="222" t="s">
        <v>1741</v>
      </c>
      <c r="K40" s="227">
        <v>44060</v>
      </c>
      <c r="L40" s="230" t="s">
        <v>1743</v>
      </c>
    </row>
    <row r="41" spans="2:12" ht="14.5" x14ac:dyDescent="0.35">
      <c r="B41" s="225"/>
      <c r="C41" s="220" t="s">
        <v>1737</v>
      </c>
      <c r="D41" s="144" t="s">
        <v>1759</v>
      </c>
      <c r="J41" s="222" t="s">
        <v>1740</v>
      </c>
      <c r="K41" s="227">
        <v>44060</v>
      </c>
      <c r="L41" s="230" t="s">
        <v>1743</v>
      </c>
    </row>
    <row r="42" spans="2:12" ht="14.5" x14ac:dyDescent="0.35">
      <c r="B42" s="225"/>
      <c r="C42" s="220"/>
      <c r="D42" s="144"/>
      <c r="J42" s="222"/>
      <c r="L42" s="230"/>
    </row>
    <row r="43" spans="2:12" ht="14.5" x14ac:dyDescent="0.35">
      <c r="B43" s="225"/>
      <c r="C43" s="241">
        <v>44063</v>
      </c>
      <c r="D43" s="144"/>
      <c r="L43" s="230"/>
    </row>
    <row r="44" spans="2:12" ht="14.5" x14ac:dyDescent="0.35">
      <c r="B44" s="225"/>
      <c r="C44" s="220"/>
      <c r="D44" s="144" t="s">
        <v>1766</v>
      </c>
      <c r="J44" s="222" t="s">
        <v>1775</v>
      </c>
      <c r="K44" s="227">
        <v>44064</v>
      </c>
      <c r="L44" s="230" t="s">
        <v>1780</v>
      </c>
    </row>
    <row r="45" spans="2:12" ht="14.5" x14ac:dyDescent="0.35">
      <c r="B45" s="225"/>
      <c r="C45" s="220"/>
      <c r="D45" s="144" t="s">
        <v>1767</v>
      </c>
      <c r="J45" s="222" t="s">
        <v>1776</v>
      </c>
      <c r="K45" s="227">
        <v>44064</v>
      </c>
      <c r="L45" s="230" t="s">
        <v>1780</v>
      </c>
    </row>
    <row r="46" spans="2:12" ht="14.5" x14ac:dyDescent="0.35">
      <c r="B46" s="225"/>
      <c r="C46" s="220"/>
      <c r="D46" s="144" t="s">
        <v>1768</v>
      </c>
      <c r="J46" s="222" t="s">
        <v>1775</v>
      </c>
      <c r="K46" s="227">
        <v>44064</v>
      </c>
      <c r="L46" s="230" t="s">
        <v>1780</v>
      </c>
    </row>
    <row r="47" spans="2:12" ht="14.5" x14ac:dyDescent="0.35">
      <c r="B47" s="225"/>
      <c r="C47" s="220"/>
      <c r="D47" s="144" t="s">
        <v>1769</v>
      </c>
      <c r="J47" s="222" t="s">
        <v>1777</v>
      </c>
      <c r="K47" s="227">
        <v>44064</v>
      </c>
      <c r="L47" s="230" t="s">
        <v>1780</v>
      </c>
    </row>
    <row r="48" spans="2:12" ht="14.5" x14ac:dyDescent="0.35">
      <c r="B48" s="225"/>
      <c r="C48" s="220"/>
      <c r="D48" s="144" t="s">
        <v>1770</v>
      </c>
      <c r="J48" s="222" t="s">
        <v>1778</v>
      </c>
      <c r="K48" s="227">
        <v>44064</v>
      </c>
      <c r="L48" s="230" t="s">
        <v>1780</v>
      </c>
    </row>
    <row r="49" spans="2:12" ht="14.5" x14ac:dyDescent="0.35">
      <c r="B49" s="225"/>
      <c r="C49" s="220"/>
      <c r="D49" s="144" t="s">
        <v>1771</v>
      </c>
      <c r="J49" s="222" t="s">
        <v>1779</v>
      </c>
      <c r="K49" s="227">
        <v>44064</v>
      </c>
      <c r="L49" s="230" t="s">
        <v>1780</v>
      </c>
    </row>
    <row r="50" spans="2:12" ht="14.5" x14ac:dyDescent="0.35">
      <c r="B50" s="225"/>
      <c r="C50" s="220"/>
      <c r="D50" s="144" t="s">
        <v>1772</v>
      </c>
      <c r="J50" s="222" t="s">
        <v>1775</v>
      </c>
      <c r="K50" s="227">
        <v>44064</v>
      </c>
      <c r="L50" s="230" t="s">
        <v>1780</v>
      </c>
    </row>
    <row r="51" spans="2:12" ht="14.5" x14ac:dyDescent="0.35">
      <c r="B51" s="225"/>
      <c r="C51" s="220"/>
      <c r="D51" s="144"/>
      <c r="J51" s="144"/>
      <c r="L51" s="230"/>
    </row>
    <row r="52" spans="2:12" ht="14.5" x14ac:dyDescent="0.35">
      <c r="B52" s="225"/>
      <c r="C52" s="241">
        <v>44068</v>
      </c>
      <c r="D52" s="144"/>
      <c r="L52" s="230"/>
    </row>
    <row r="53" spans="2:12" ht="14.5" x14ac:dyDescent="0.35">
      <c r="B53" s="225"/>
      <c r="C53" s="241"/>
      <c r="D53" s="144" t="s">
        <v>1781</v>
      </c>
      <c r="J53" s="222" t="s">
        <v>1800</v>
      </c>
      <c r="K53" s="227">
        <v>44068</v>
      </c>
      <c r="L53" s="230" t="s">
        <v>1782</v>
      </c>
    </row>
    <row r="54" spans="2:12" s="237" customFormat="1" ht="14.5" x14ac:dyDescent="0.35">
      <c r="B54" s="238"/>
      <c r="C54" s="239"/>
      <c r="D54" s="144"/>
      <c r="J54"/>
      <c r="K54" s="227"/>
      <c r="L54" s="240"/>
    </row>
    <row r="55" spans="2:12" ht="14.5" x14ac:dyDescent="0.35">
      <c r="B55" s="225"/>
      <c r="C55" s="220"/>
      <c r="D55" s="144" t="s">
        <v>1773</v>
      </c>
      <c r="L55" s="230"/>
    </row>
    <row r="56" spans="2:12" ht="14.5" x14ac:dyDescent="0.35">
      <c r="B56" s="225"/>
      <c r="C56" s="220"/>
      <c r="D56" s="144" t="s">
        <v>1774</v>
      </c>
      <c r="J56" s="223" t="s">
        <v>1796</v>
      </c>
      <c r="K56" s="223"/>
      <c r="L56" s="223"/>
    </row>
    <row r="57" spans="2:12" ht="14.5" x14ac:dyDescent="0.35">
      <c r="B57" s="225"/>
      <c r="C57" s="220"/>
      <c r="D57" s="144"/>
      <c r="J57" s="144"/>
      <c r="L57" s="230"/>
    </row>
    <row r="58" spans="2:12" ht="14.5" x14ac:dyDescent="0.35">
      <c r="B58" s="225"/>
      <c r="C58" s="241">
        <v>44069</v>
      </c>
      <c r="D58" s="144"/>
      <c r="J58" s="144"/>
      <c r="L58" s="230"/>
    </row>
    <row r="59" spans="2:12" ht="14.5" x14ac:dyDescent="0.35">
      <c r="B59" s="225"/>
      <c r="C59" s="220"/>
      <c r="D59" s="144" t="s">
        <v>1791</v>
      </c>
      <c r="J59" s="222" t="s">
        <v>1798</v>
      </c>
      <c r="K59" s="227">
        <v>44069</v>
      </c>
      <c r="L59" s="230" t="s">
        <v>1801</v>
      </c>
    </row>
    <row r="60" spans="2:12" ht="14.5" x14ac:dyDescent="0.35">
      <c r="B60" s="225"/>
      <c r="C60" s="220"/>
      <c r="D60" s="144" t="s">
        <v>1792</v>
      </c>
      <c r="J60" s="222" t="s">
        <v>1799</v>
      </c>
      <c r="K60" s="227">
        <v>44069</v>
      </c>
      <c r="L60" s="230" t="s">
        <v>1801</v>
      </c>
    </row>
    <row r="61" spans="2:12" ht="14.5" x14ac:dyDescent="0.35">
      <c r="B61" s="225"/>
      <c r="C61" s="220"/>
      <c r="D61" s="144" t="s">
        <v>1802</v>
      </c>
      <c r="J61" s="222" t="s">
        <v>1803</v>
      </c>
      <c r="K61" s="227">
        <v>44069</v>
      </c>
      <c r="L61" s="230" t="s">
        <v>1804</v>
      </c>
    </row>
    <row r="62" spans="2:12" ht="14.5" x14ac:dyDescent="0.35">
      <c r="B62" s="225"/>
      <c r="C62" s="220"/>
      <c r="D62" s="144" t="s">
        <v>1805</v>
      </c>
      <c r="J62" s="222" t="s">
        <v>1806</v>
      </c>
      <c r="K62" s="227">
        <v>44070</v>
      </c>
      <c r="L62" s="230" t="s">
        <v>1807</v>
      </c>
    </row>
    <row r="63" spans="2:12" ht="14.5" x14ac:dyDescent="0.25">
      <c r="C63" s="220"/>
      <c r="D63" s="242"/>
      <c r="L63" s="230"/>
    </row>
    <row r="64" spans="2:12" ht="14.5" x14ac:dyDescent="0.35">
      <c r="B64" s="225" t="s">
        <v>1760</v>
      </c>
      <c r="C64" s="241">
        <v>44063</v>
      </c>
      <c r="D64" s="144"/>
      <c r="L64" s="230"/>
    </row>
    <row r="65" spans="2:12" ht="14.5" x14ac:dyDescent="0.35">
      <c r="B65" s="225"/>
      <c r="C65" s="220"/>
      <c r="D65" s="144" t="s">
        <v>1790</v>
      </c>
      <c r="J65" s="223" t="s">
        <v>1789</v>
      </c>
      <c r="L65" s="230"/>
    </row>
    <row r="66" spans="2:12" ht="14.5" x14ac:dyDescent="0.35">
      <c r="B66" s="225"/>
      <c r="C66" s="220"/>
      <c r="D66" s="144" t="s">
        <v>1809</v>
      </c>
      <c r="J66" s="222" t="s">
        <v>1808</v>
      </c>
      <c r="K66" s="227">
        <v>44070</v>
      </c>
      <c r="L66" s="253" t="s">
        <v>1807</v>
      </c>
    </row>
    <row r="67" spans="2:12" ht="14.5" x14ac:dyDescent="0.35">
      <c r="B67" s="225"/>
      <c r="C67" s="220"/>
      <c r="D67" s="144"/>
      <c r="L67" s="230"/>
    </row>
    <row r="68" spans="2:12" ht="14.5" x14ac:dyDescent="0.35">
      <c r="B68" s="225"/>
      <c r="C68" s="241">
        <v>44068</v>
      </c>
      <c r="D68" s="144"/>
      <c r="L68" s="230"/>
    </row>
    <row r="69" spans="2:12" ht="14.5" x14ac:dyDescent="0.35">
      <c r="B69" s="225"/>
      <c r="C69" s="220"/>
      <c r="D69" s="144" t="s">
        <v>1783</v>
      </c>
      <c r="J69" s="222" t="s">
        <v>1787</v>
      </c>
      <c r="K69" s="227">
        <v>44068</v>
      </c>
      <c r="L69" s="230" t="s">
        <v>1782</v>
      </c>
    </row>
    <row r="70" spans="2:12" ht="14.5" x14ac:dyDescent="0.35">
      <c r="B70" s="225"/>
      <c r="C70" s="220"/>
      <c r="D70" s="144" t="s">
        <v>1785</v>
      </c>
      <c r="J70" s="222" t="s">
        <v>1786</v>
      </c>
      <c r="K70" s="227">
        <v>44068</v>
      </c>
      <c r="L70" s="230" t="s">
        <v>1782</v>
      </c>
    </row>
    <row r="71" spans="2:12" ht="14.5" x14ac:dyDescent="0.35">
      <c r="B71" s="225"/>
      <c r="C71" s="220"/>
      <c r="D71" s="144"/>
      <c r="L71" s="230"/>
    </row>
    <row r="72" spans="2:12" ht="14.5" x14ac:dyDescent="0.35">
      <c r="B72" s="225"/>
      <c r="C72" s="241">
        <v>44069</v>
      </c>
      <c r="D72" s="144"/>
      <c r="L72" s="230"/>
    </row>
    <row r="73" spans="2:12" ht="14.5" x14ac:dyDescent="0.35">
      <c r="B73" s="225"/>
      <c r="C73" s="220"/>
      <c r="D73" s="144" t="s">
        <v>1795</v>
      </c>
      <c r="J73" s="223" t="s">
        <v>1796</v>
      </c>
      <c r="L73" s="230" t="s">
        <v>1797</v>
      </c>
    </row>
    <row r="74" spans="2:12" ht="14.5" x14ac:dyDescent="0.35">
      <c r="B74" s="225"/>
      <c r="C74" s="220"/>
      <c r="D74" s="144"/>
      <c r="L74" s="230"/>
    </row>
    <row r="75" spans="2:12" ht="14.5" x14ac:dyDescent="0.35">
      <c r="B75" s="225"/>
      <c r="C75" s="241">
        <v>44117</v>
      </c>
    </row>
    <row r="76" spans="2:12" ht="14.5" x14ac:dyDescent="0.35">
      <c r="B76" s="225"/>
      <c r="C76" s="220"/>
      <c r="D76" s="144" t="s">
        <v>1811</v>
      </c>
      <c r="J76" s="223" t="s">
        <v>1796</v>
      </c>
      <c r="L76" s="230" t="s">
        <v>1810</v>
      </c>
    </row>
    <row r="77" spans="2:12" ht="14.5" x14ac:dyDescent="0.35">
      <c r="B77" s="225"/>
      <c r="C77" s="220"/>
      <c r="D77" s="144"/>
      <c r="L77" s="230"/>
    </row>
    <row r="78" spans="2:12" ht="11.65" customHeight="1" x14ac:dyDescent="0.35">
      <c r="B78" s="225"/>
      <c r="C78" s="139">
        <v>44124</v>
      </c>
      <c r="K78"/>
    </row>
    <row r="79" spans="2:12" ht="11.65" customHeight="1" x14ac:dyDescent="0.35">
      <c r="B79" s="225"/>
      <c r="D79" s="144" t="s">
        <v>1831</v>
      </c>
      <c r="J79" s="222" t="s">
        <v>1832</v>
      </c>
      <c r="K79" s="139">
        <v>44124</v>
      </c>
      <c r="L79" s="269" t="s">
        <v>1825</v>
      </c>
    </row>
    <row r="80" spans="2:12" ht="11.65" customHeight="1" x14ac:dyDescent="0.35">
      <c r="B80" s="225"/>
      <c r="K80"/>
    </row>
    <row r="81" spans="2:12" ht="14.5" x14ac:dyDescent="0.35">
      <c r="B81" s="225"/>
      <c r="K81"/>
    </row>
    <row r="82" spans="2:12" ht="14.5" x14ac:dyDescent="0.35">
      <c r="B82" s="225"/>
      <c r="K82"/>
    </row>
    <row r="83" spans="2:12" ht="14.5" x14ac:dyDescent="0.35">
      <c r="B83" s="225"/>
      <c r="C83" s="220" t="s">
        <v>1718</v>
      </c>
      <c r="D83" s="144" t="s">
        <v>1747</v>
      </c>
      <c r="J83" s="222" t="s">
        <v>1738</v>
      </c>
      <c r="K83" s="227">
        <v>44060</v>
      </c>
      <c r="L83" s="230" t="s">
        <v>1743</v>
      </c>
    </row>
    <row r="84" spans="2:12" ht="14.5" x14ac:dyDescent="0.35">
      <c r="B84" s="225"/>
      <c r="C84" s="220" t="s">
        <v>1724</v>
      </c>
      <c r="D84" s="144" t="s">
        <v>1748</v>
      </c>
      <c r="J84" s="222" t="s">
        <v>1739</v>
      </c>
      <c r="K84" s="227">
        <v>44060</v>
      </c>
      <c r="L84" s="230" t="s">
        <v>1743</v>
      </c>
    </row>
    <row r="85" spans="2:12" ht="14.5" x14ac:dyDescent="0.35">
      <c r="B85" s="225"/>
      <c r="C85" s="220" t="s">
        <v>1727</v>
      </c>
      <c r="D85" s="144" t="s">
        <v>1749</v>
      </c>
      <c r="J85" s="222" t="s">
        <v>1746</v>
      </c>
      <c r="K85" s="227">
        <v>44061</v>
      </c>
      <c r="L85" s="230" t="s">
        <v>1745</v>
      </c>
    </row>
    <row r="86" spans="2:12" ht="14.5" x14ac:dyDescent="0.35">
      <c r="B86" s="225"/>
      <c r="C86" s="220" t="s">
        <v>1729</v>
      </c>
      <c r="D86" s="144" t="s">
        <v>1750</v>
      </c>
      <c r="J86" s="222" t="s">
        <v>1763</v>
      </c>
      <c r="K86" s="227">
        <v>44061</v>
      </c>
      <c r="L86" s="230" t="s">
        <v>1745</v>
      </c>
    </row>
    <row r="87" spans="2:12" ht="14.5" x14ac:dyDescent="0.35">
      <c r="B87" s="225"/>
      <c r="C87" s="220" t="s">
        <v>1735</v>
      </c>
      <c r="D87" s="144" t="s">
        <v>1751</v>
      </c>
      <c r="J87" s="222" t="s">
        <v>1761</v>
      </c>
      <c r="K87" s="228">
        <v>44061</v>
      </c>
      <c r="L87" s="230" t="s">
        <v>1745</v>
      </c>
    </row>
    <row r="88" spans="2:12" ht="14.5" x14ac:dyDescent="0.35">
      <c r="B88" s="225"/>
      <c r="C88" s="6"/>
      <c r="L88" s="229"/>
    </row>
    <row r="89" spans="2:12" ht="14.5" x14ac:dyDescent="0.35">
      <c r="B89" s="225"/>
      <c r="C89" s="220"/>
      <c r="D89" s="144"/>
      <c r="L89" s="229"/>
    </row>
    <row r="90" spans="2:12" ht="14.5" x14ac:dyDescent="0.35">
      <c r="B90" s="225"/>
      <c r="C90" s="220"/>
      <c r="D90" s="144" t="s">
        <v>1764</v>
      </c>
      <c r="J90" s="223" t="s">
        <v>1765</v>
      </c>
      <c r="L90" s="229"/>
    </row>
    <row r="91" spans="2:12" ht="14.5" x14ac:dyDescent="0.35">
      <c r="B91" s="225"/>
      <c r="C91" s="241">
        <v>44068</v>
      </c>
      <c r="L91" s="229"/>
    </row>
    <row r="92" spans="2:12" ht="14.5" x14ac:dyDescent="0.35">
      <c r="B92" s="225"/>
      <c r="C92" s="6"/>
      <c r="D92" s="144" t="s">
        <v>1788</v>
      </c>
      <c r="J92" s="222" t="s">
        <v>1787</v>
      </c>
      <c r="K92" s="227">
        <v>44068</v>
      </c>
      <c r="L92" s="230" t="s">
        <v>1782</v>
      </c>
    </row>
    <row r="93" spans="2:12" ht="14.5" x14ac:dyDescent="0.35">
      <c r="B93" s="225"/>
      <c r="C93" s="6"/>
      <c r="L93" s="229"/>
    </row>
    <row r="94" spans="2:12" ht="14.5" x14ac:dyDescent="0.35">
      <c r="B94" s="225"/>
      <c r="C94" s="241">
        <v>44117</v>
      </c>
    </row>
    <row r="95" spans="2:12" ht="14.5" x14ac:dyDescent="0.35">
      <c r="B95" s="225"/>
      <c r="C95" s="220"/>
      <c r="D95" s="144" t="s">
        <v>1811</v>
      </c>
      <c r="J95" s="223" t="s">
        <v>1796</v>
      </c>
      <c r="L95" s="230" t="s">
        <v>1810</v>
      </c>
    </row>
    <row r="96" spans="2:12" ht="14.5" x14ac:dyDescent="0.35">
      <c r="B96" s="225"/>
      <c r="C96" s="6"/>
      <c r="L96" s="229"/>
    </row>
    <row r="97" spans="1:12" ht="14.5" x14ac:dyDescent="0.35">
      <c r="B97" s="225"/>
      <c r="C97" s="268">
        <v>44125</v>
      </c>
    </row>
    <row r="98" spans="1:12" ht="14.5" x14ac:dyDescent="0.35">
      <c r="B98" s="225"/>
      <c r="C98" s="6"/>
      <c r="D98" s="144" t="s">
        <v>1833</v>
      </c>
      <c r="J98" s="222" t="s">
        <v>1834</v>
      </c>
      <c r="K98" s="227">
        <v>44125</v>
      </c>
      <c r="L98" s="230" t="s">
        <v>1825</v>
      </c>
    </row>
    <row r="99" spans="1:12" x14ac:dyDescent="0.25">
      <c r="C99" s="6"/>
      <c r="L99" s="229"/>
    </row>
    <row r="100" spans="1:12" x14ac:dyDescent="0.25">
      <c r="C100" s="6"/>
      <c r="L100" s="229"/>
    </row>
    <row r="101" spans="1:12" s="279" customFormat="1" ht="15.5" x14ac:dyDescent="0.35">
      <c r="A101" s="274"/>
      <c r="B101" s="274"/>
      <c r="C101" s="275" t="s">
        <v>1034</v>
      </c>
      <c r="D101" s="274"/>
      <c r="E101" s="274"/>
      <c r="F101" s="274"/>
      <c r="G101" s="274"/>
      <c r="H101" s="274"/>
      <c r="I101" s="274"/>
      <c r="J101" s="276" t="s">
        <v>1721</v>
      </c>
      <c r="K101" s="277" t="s">
        <v>1661</v>
      </c>
      <c r="L101" s="278" t="s">
        <v>1742</v>
      </c>
    </row>
    <row r="102" spans="1:12" x14ac:dyDescent="0.25">
      <c r="K102"/>
    </row>
    <row r="103" spans="1:12" ht="15.5" x14ac:dyDescent="0.35">
      <c r="B103" s="226" t="s">
        <v>1731</v>
      </c>
      <c r="C103" s="139">
        <v>44130</v>
      </c>
      <c r="D103" s="144" t="s">
        <v>1836</v>
      </c>
      <c r="K103"/>
    </row>
    <row r="104" spans="1:12" ht="14.5" x14ac:dyDescent="0.35">
      <c r="B104" s="225"/>
      <c r="C104" s="139">
        <v>44130</v>
      </c>
      <c r="D104" s="144" t="s">
        <v>1838</v>
      </c>
      <c r="K104"/>
    </row>
    <row r="105" spans="1:12" ht="14.5" x14ac:dyDescent="0.35">
      <c r="B105" s="225"/>
      <c r="C105" s="139"/>
      <c r="D105" s="144"/>
      <c r="K105"/>
    </row>
    <row r="106" spans="1:12" x14ac:dyDescent="0.25">
      <c r="C106" s="139"/>
      <c r="D106" s="144"/>
      <c r="K106"/>
    </row>
    <row r="107" spans="1:12" x14ac:dyDescent="0.25">
      <c r="C107" s="139"/>
      <c r="D107" s="144"/>
      <c r="K107"/>
    </row>
    <row r="108" spans="1:12" x14ac:dyDescent="0.25">
      <c r="C108" s="6"/>
      <c r="L108" s="229"/>
    </row>
    <row r="109" spans="1:12" s="279" customFormat="1" ht="15.5" x14ac:dyDescent="0.35">
      <c r="A109" s="274"/>
      <c r="B109" s="274"/>
      <c r="C109" s="274" t="s">
        <v>1823</v>
      </c>
      <c r="D109" s="274"/>
      <c r="E109" s="274"/>
      <c r="F109" s="274"/>
      <c r="G109" s="274"/>
      <c r="H109" s="274"/>
      <c r="I109" s="274"/>
      <c r="J109" s="276" t="s">
        <v>1721</v>
      </c>
      <c r="K109" s="277" t="s">
        <v>1661</v>
      </c>
      <c r="L109" s="278" t="s">
        <v>1742</v>
      </c>
    </row>
    <row r="110" spans="1:12" ht="14.5" x14ac:dyDescent="0.35">
      <c r="B110" s="225"/>
      <c r="C110" s="6"/>
      <c r="L110" s="229"/>
    </row>
    <row r="111" spans="1:12" ht="14.5" x14ac:dyDescent="0.35">
      <c r="B111" s="225"/>
      <c r="C111" s="6"/>
      <c r="L111" s="229"/>
    </row>
    <row r="112" spans="1:12" ht="14.5" x14ac:dyDescent="0.35">
      <c r="B112" s="225"/>
      <c r="C112" s="268">
        <v>44123</v>
      </c>
      <c r="J112" s="222" t="s">
        <v>1824</v>
      </c>
      <c r="K112" s="227">
        <v>44124</v>
      </c>
      <c r="L112" s="230" t="s">
        <v>1825</v>
      </c>
    </row>
    <row r="113" spans="2:12" ht="14.5" x14ac:dyDescent="0.35">
      <c r="B113" s="225"/>
      <c r="C113" s="6"/>
      <c r="D113" s="219" t="s">
        <v>1826</v>
      </c>
      <c r="J113" s="223" t="s">
        <v>1765</v>
      </c>
      <c r="L113" s="230"/>
    </row>
    <row r="114" spans="2:12" ht="14.5" x14ac:dyDescent="0.35">
      <c r="B114" s="225"/>
      <c r="C114" s="6"/>
      <c r="D114" s="219" t="s">
        <v>1827</v>
      </c>
      <c r="L114" s="229"/>
    </row>
    <row r="115" spans="2:12" ht="14.5" x14ac:dyDescent="0.35">
      <c r="B115" s="225"/>
      <c r="C115" s="6"/>
      <c r="D115" s="219" t="s">
        <v>1828</v>
      </c>
      <c r="L115" s="229"/>
    </row>
    <row r="116" spans="2:12" ht="14.5" x14ac:dyDescent="0.35">
      <c r="B116" s="225"/>
      <c r="C116" s="6"/>
      <c r="D116" s="219" t="s">
        <v>1829</v>
      </c>
      <c r="J116" s="222" t="s">
        <v>1830</v>
      </c>
      <c r="K116" s="227">
        <v>44124</v>
      </c>
      <c r="L116" s="230" t="s">
        <v>1825</v>
      </c>
    </row>
    <row r="117" spans="2:12" ht="14.5" x14ac:dyDescent="0.35">
      <c r="B117" s="225"/>
      <c r="C117" s="6"/>
      <c r="L117" s="229"/>
    </row>
    <row r="118" spans="2:12" ht="14.5" x14ac:dyDescent="0.35">
      <c r="B118" s="225"/>
      <c r="C118" s="6"/>
      <c r="L118" s="229"/>
    </row>
    <row r="119" spans="2:12" ht="14.5" x14ac:dyDescent="0.35">
      <c r="B119" s="225"/>
      <c r="C119" s="6"/>
      <c r="L119" s="229"/>
    </row>
    <row r="120" spans="2:12" x14ac:dyDescent="0.25">
      <c r="C120" s="6"/>
    </row>
    <row r="121" spans="2:12" x14ac:dyDescent="0.25">
      <c r="C121" s="6"/>
    </row>
    <row r="122" spans="2:12" x14ac:dyDescent="0.25">
      <c r="C122" s="139"/>
      <c r="D122" s="144"/>
    </row>
    <row r="123" spans="2:12" x14ac:dyDescent="0.25">
      <c r="C123" s="139"/>
      <c r="D123" s="14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2020-10-27T13:27:08Z</dcterms:modified>
</cp:coreProperties>
</file>