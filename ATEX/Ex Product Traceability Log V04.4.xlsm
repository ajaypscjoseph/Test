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3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0" l="1"/>
  <c r="T5" i="10"/>
  <c r="U5" i="10"/>
  <c r="E5" i="11" l="1"/>
  <c r="I5" i="11" s="1"/>
  <c r="F10" i="10"/>
  <c r="K10" i="10" s="1"/>
  <c r="J10" i="10"/>
  <c r="F9" i="10"/>
  <c r="K9" i="10" s="1"/>
  <c r="J9" i="10"/>
  <c r="F8" i="10"/>
  <c r="K8" i="10" s="1"/>
  <c r="J8" i="10"/>
  <c r="F7" i="10"/>
  <c r="K7" i="10" s="1"/>
  <c r="J7" i="10"/>
  <c r="F6" i="10"/>
  <c r="K6" i="10" s="1"/>
  <c r="J6" i="10"/>
  <c r="F5" i="10"/>
  <c r="K5" i="10" s="1"/>
  <c r="J5" i="10"/>
  <c r="U4" i="10" l="1"/>
  <c r="T4" i="10"/>
  <c r="AJ4" i="11" l="1"/>
  <c r="AI4" i="11"/>
  <c r="AH4" i="11"/>
  <c r="AG4" i="11"/>
  <c r="AF4" i="11"/>
  <c r="AE4" i="11"/>
  <c r="AD4" i="11"/>
  <c r="E4" i="11" l="1"/>
  <c r="I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I4" i="10"/>
  <c r="AH4" i="10"/>
  <c r="AG4" i="10"/>
  <c r="AF4" i="10"/>
  <c r="AE4" i="10"/>
  <c r="AD4" i="10"/>
  <c r="P4" i="10"/>
  <c r="K4" i="10"/>
  <c r="J4" i="10"/>
  <c r="F4" i="10"/>
</calcChain>
</file>

<file path=xl/comments1.xml><?xml version="1.0" encoding="utf-8"?>
<comments xmlns="http://schemas.openxmlformats.org/spreadsheetml/2006/main">
  <authors>
    <author>Stephanie Scullion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<sst xmlns="http://schemas.openxmlformats.org/spreadsheetml/2006/main" count="4956" uniqueCount="1836">
  <si>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</si>
  <si>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</si>
  <si>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</si>
  <si>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</si>
  <si>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</si>
  <si>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</si>
  <si>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</si>
  <si>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</si>
  <si>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</si>
  <si>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</si>
  <si>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</si>
  <si>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</si>
  <si>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</si>
  <si>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</si>
  <si>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</si>
  <si>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</si>
  <si>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</si>
  <si>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</si>
  <si>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</si>
  <si>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</si>
  <si>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</si>
  <si>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</si>
  <si>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</si>
  <si>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</si>
  <si>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</si>
  <si>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</si>
  <si>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</si>
  <si>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</si>
  <si>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</si>
  <si>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</si>
  <si>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</si>
  <si>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</si>
  <si>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</si>
  <si>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</si>
  <si>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</si>
  <si>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</si>
  <si>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</si>
  <si>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</si>
  <si>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</si>
  <si>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</si>
  <si>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</si>
  <si>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</si>
  <si>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</si>
  <si>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</si>
  <si>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</si>
  <si>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</si>
  <si>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</si>
  <si>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</si>
  <si>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</si>
  <si>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</si>
  <si>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</si>
  <si>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</si>
  <si>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</si>
  <si>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</si>
  <si>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</si>
  <si>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</si>
  <si>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</si>
  <si>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</si>
  <si>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</si>
  <si>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</si>
  <si>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</si>
  <si>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</si>
  <si>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</si>
  <si>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</si>
  <si>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</si>
  <si>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</si>
  <si>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</si>
  <si>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</si>
  <si>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</si>
  <si>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</si>
  <si>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</si>
  <si>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</si>
  <si>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</si>
  <si>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</si>
  <si>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</si>
  <si>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</si>
  <si>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</si>
  <si>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</si>
  <si>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</si>
  <si>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</si>
  <si>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</si>
  <si>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</si>
  <si>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</si>
  <si>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</si>
  <si>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</si>
  <si>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</si>
  <si>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</si>
  <si>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</si>
  <si>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</si>
  <si>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</si>
  <si>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</si>
  <si>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</si>
  <si>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</si>
  <si>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</si>
  <si>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</si>
  <si>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</si>
  <si>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</si>
  <si>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</si>
  <si>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</si>
  <si>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</si>
  <si>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</si>
  <si>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</si>
  <si>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</si>
  <si>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</si>
  <si>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</si>
  <si>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</si>
  <si>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</si>
  <si>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</si>
  <si>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</si>
  <si>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</si>
  <si>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</si>
  <si>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</si>
  <si>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</si>
  <si>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</si>
  <si>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</si>
  <si>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</si>
  <si>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</si>
  <si>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</si>
  <si>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</si>
  <si>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</si>
  <si>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</si>
  <si>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</si>
  <si>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</si>
  <si>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</si>
  <si>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</si>
  <si>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</si>
  <si>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</si>
  <si>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</si>
  <si>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</si>
  <si>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</si>
  <si>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</si>
  <si>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</si>
  <si>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</si>
  <si>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</si>
  <si>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</si>
  <si>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</si>
  <si>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</si>
  <si>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</si>
  <si>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</si>
  <si>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</si>
  <si>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</si>
  <si>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</si>
  <si>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</si>
  <si>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</si>
  <si>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</si>
  <si>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</si>
  <si>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</si>
  <si>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</si>
  <si>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</si>
  <si>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</si>
  <si>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</si>
  <si>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</si>
  <si>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</si>
  <si>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</si>
  <si>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</si>
  <si>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</si>
  <si>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</si>
  <si>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</si>
  <si>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</si>
  <si>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</si>
  <si>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</si>
  <si>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</si>
  <si>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</si>
  <si>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</si>
  <si>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</si>
  <si>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</si>
  <si>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</si>
  <si>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</si>
  <si>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</si>
  <si>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</si>
  <si>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</si>
  <si>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</si>
  <si>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</si>
  <si>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</si>
  <si>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</si>
  <si>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</si>
  <si>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</si>
  <si>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</si>
  <si>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</si>
  <si>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</si>
  <si>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</si>
  <si>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</si>
  <si>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</si>
  <si>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</si>
  <si>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</si>
  <si>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</si>
  <si>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</si>
  <si>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</si>
  <si>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</si>
  <si>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</si>
  <si>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</si>
  <si>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</si>
  <si>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</si>
  <si>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</si>
  <si>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</si>
  <si>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</si>
  <si>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</si>
  <si>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</si>
  <si>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</si>
  <si>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</si>
  <si>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</si>
  <si>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</si>
  <si>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</si>
  <si>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</si>
  <si>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</si>
  <si>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</si>
  <si>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</si>
  <si>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</si>
  <si>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</si>
  <si>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</si>
  <si>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</si>
  <si>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</si>
  <si>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</si>
  <si>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</si>
  <si>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</si>
  <si>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</si>
  <si>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</si>
  <si>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</si>
  <si>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</si>
  <si>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</si>
  <si>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</si>
  <si>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</si>
  <si>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</si>
  <si>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</si>
  <si>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</si>
  <si>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</si>
  <si>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</si>
  <si>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</si>
  <si>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</si>
  <si>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</si>
  <si>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</si>
  <si>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</si>
  <si>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</si>
  <si>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</si>
  <si>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</si>
  <si>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</si>
  <si>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</si>
  <si>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</si>
  <si>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</si>
  <si>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</si>
  <si>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</si>
  <si>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</si>
  <si>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</si>
  <si>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</si>
  <si>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</si>
  <si>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</si>
  <si>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</si>
  <si>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</si>
  <si>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</si>
  <si>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</si>
  <si>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</si>
  <si>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</si>
  <si>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</si>
  <si>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</si>
  <si>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</si>
  <si>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</si>
  <si>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</si>
  <si>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</si>
  <si>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</si>
  <si>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</si>
  <si>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</si>
  <si>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</si>
  <si>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</si>
  <si>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</si>
  <si>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</si>
  <si>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</si>
  <si>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</si>
  <si>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</si>
  <si>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</si>
  <si>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</si>
  <si>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</si>
  <si>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</si>
  <si>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</si>
  <si>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</si>
  <si>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</si>
  <si>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</si>
  <si>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</si>
  <si>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</si>
  <si>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</si>
  <si>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</si>
  <si>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</si>
  <si>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</si>
  <si>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</si>
  <si>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</si>
  <si>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</si>
  <si>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</si>
  <si>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</si>
  <si>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</si>
  <si>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</si>
  <si>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</si>
  <si>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</si>
  <si>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</si>
  <si>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</si>
  <si>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</si>
  <si>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</si>
  <si>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</si>
  <si>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</si>
  <si>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</si>
  <si>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</si>
  <si>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</si>
  <si>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</si>
  <si>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</si>
  <si>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</si>
  <si>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</si>
  <si>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</si>
  <si>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</si>
  <si>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</si>
  <si>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</si>
  <si>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</si>
  <si>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</si>
  <si>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</si>
  <si>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</si>
  <si>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</si>
  <si>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</si>
  <si>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</si>
  <si>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</si>
  <si>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</si>
  <si>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</si>
  <si>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</si>
  <si>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</si>
  <si>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</si>
  <si>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</si>
  <si>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</si>
  <si>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</si>
  <si>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</si>
  <si>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</si>
  <si>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</si>
  <si>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</si>
  <si>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</si>
  <si>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</si>
  <si>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</si>
  <si>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</si>
  <si>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</si>
  <si>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</si>
  <si>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</si>
  <si>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</si>
  <si>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</si>
  <si>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</si>
  <si>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</si>
  <si>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</si>
  <si>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</si>
  <si>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</si>
  <si>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</si>
  <si>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</si>
  <si>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</si>
  <si>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</si>
  <si>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</si>
  <si>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</si>
  <si>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</si>
  <si>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</si>
  <si>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</si>
  <si>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</si>
  <si>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</si>
  <si>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</si>
  <si>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</si>
  <si>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</si>
  <si>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</si>
  <si>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</si>
  <si>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</si>
  <si>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</si>
  <si>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</si>
  <si>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</si>
  <si>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</si>
  <si>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</si>
  <si>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</si>
  <si>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</si>
  <si>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</si>
  <si>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</si>
  <si>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</si>
  <si>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</si>
  <si>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</si>
  <si>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</si>
  <si>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</si>
  <si>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</si>
  <si>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</si>
  <si>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</si>
  <si>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</si>
  <si>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</si>
  <si>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</si>
  <si>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</si>
  <si>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</si>
  <si>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</si>
  <si>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</si>
  <si>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</si>
  <si>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</si>
  <si>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</si>
  <si>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</si>
  <si>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</si>
  <si>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</si>
  <si>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</si>
  <si>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</si>
  <si>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</si>
  <si>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</si>
  <si>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</si>
  <si>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</si>
  <si>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</si>
  <si>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</si>
  <si>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</si>
  <si>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</si>
  <si>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</si>
  <si>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</si>
  <si>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</si>
  <si>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</si>
  <si>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</si>
  <si>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</si>
  <si>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</si>
  <si>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</si>
  <si>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</si>
  <si>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</si>
  <si>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</si>
  <si>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</si>
  <si>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</si>
  <si>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</si>
  <si>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</si>
  <si>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</si>
  <si>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</si>
  <si>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</si>
  <si>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</si>
  <si>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</si>
  <si>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</si>
  <si>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</si>
  <si>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</si>
  <si>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</si>
  <si>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</si>
  <si>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</si>
  <si>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</si>
  <si>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</si>
  <si>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</si>
  <si>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</si>
  <si>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</si>
  <si>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</si>
  <si>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</si>
  <si>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</si>
  <si>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</si>
  <si>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</si>
  <si>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</si>
  <si>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</si>
  <si>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</si>
  <si>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</si>
  <si>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</si>
  <si>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</si>
  <si>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</si>
  <si>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</si>
  <si>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</si>
  <si>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</si>
  <si>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</si>
  <si>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</si>
  <si>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</si>
  <si>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</si>
  <si>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</si>
  <si>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</si>
  <si>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</si>
  <si>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</si>
  <si>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</si>
  <si>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</si>
  <si>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</si>
  <si>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</si>
  <si>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</si>
  <si>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</si>
  <si>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</si>
  <si>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</si>
  <si>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</si>
  <si>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</si>
  <si>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</si>
  <si>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</si>
  <si>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</si>
  <si>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</si>
  <si>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</si>
  <si>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</si>
  <si>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</si>
  <si>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</si>
  <si>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</si>
  <si>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</si>
  <si>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</si>
  <si>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</si>
  <si>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</si>
  <si>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</si>
  <si>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</si>
  <si>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</si>
  <si>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</si>
  <si>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</si>
  <si>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</si>
  <si>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</si>
  <si>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</si>
  <si>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</si>
  <si>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</si>
  <si>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</si>
  <si>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</si>
  <si>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</si>
  <si>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</si>
  <si>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</si>
  <si>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</si>
  <si>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</si>
  <si>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</si>
  <si>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</si>
  <si>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</si>
  <si>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</si>
  <si>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</si>
  <si>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</si>
  <si>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</si>
  <si>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</si>
  <si>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</si>
  <si>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</si>
  <si>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</si>
  <si>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</si>
  <si>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</si>
  <si>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</si>
  <si>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</si>
  <si>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</si>
  <si>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</si>
  <si>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</si>
  <si>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</si>
  <si>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</si>
  <si>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</si>
  <si>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</si>
  <si>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</si>
  <si>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</si>
  <si>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</si>
  <si>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</si>
  <si>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</si>
  <si>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</si>
  <si>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</si>
  <si>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</si>
  <si>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</si>
  <si>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</si>
  <si>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</si>
  <si>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</si>
  <si>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</si>
  <si>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</si>
  <si>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</si>
  <si>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</si>
  <si>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</si>
  <si>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</si>
  <si>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</si>
  <si>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</si>
  <si>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</si>
  <si>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</si>
  <si>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</si>
  <si>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</si>
  <si>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</si>
  <si>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</si>
  <si>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</si>
  <si>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</si>
  <si>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</si>
  <si>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</si>
  <si>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</si>
  <si>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</si>
  <si>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</si>
  <si>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</si>
  <si>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</si>
  <si>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</si>
  <si>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</si>
  <si>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</si>
  <si>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</si>
  <si>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</si>
  <si>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</si>
  <si>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</si>
  <si>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</si>
  <si>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</si>
  <si>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</si>
  <si>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</si>
  <si>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</si>
  <si>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</si>
  <si>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</si>
  <si>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</si>
  <si>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</si>
  <si>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</si>
  <si>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</si>
  <si>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</si>
  <si>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</si>
  <si>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</si>
  <si>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</si>
  <si>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</si>
  <si>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</si>
  <si>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</si>
  <si>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</si>
  <si>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</si>
  <si>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</si>
  <si>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</si>
  <si>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</si>
  <si>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</si>
  <si>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</si>
  <si>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</si>
  <si>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</si>
  <si>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</si>
  <si>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</si>
  <si>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</si>
  <si>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</si>
  <si>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</si>
  <si>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</si>
  <si>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</si>
  <si>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</si>
  <si>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</si>
  <si>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</si>
  <si>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</si>
  <si>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</si>
  <si>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</si>
  <si>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</si>
  <si>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</si>
  <si>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</si>
  <si>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</si>
  <si>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</si>
  <si>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</si>
  <si>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</si>
  <si>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</si>
  <si>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</si>
  <si>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</si>
  <si>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</si>
  <si>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</si>
  <si>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</si>
  <si>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</si>
  <si>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</si>
  <si>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</si>
  <si>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</si>
  <si>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</si>
  <si>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</si>
  <si>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</si>
  <si>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</si>
  <si>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</si>
  <si>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</si>
  <si>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</si>
  <si>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</si>
  <si>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</si>
  <si>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</si>
  <si>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</si>
  <si>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</si>
  <si>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</si>
  <si>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</si>
  <si>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</si>
  <si>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</si>
  <si>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</si>
  <si>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</si>
  <si>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</si>
  <si>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</si>
  <si>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</si>
  <si>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</si>
  <si>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</si>
  <si>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</si>
  <si>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</si>
  <si>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</si>
  <si>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</si>
  <si>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</si>
  <si>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</si>
  <si>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</si>
  <si>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</si>
  <si>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</si>
  <si>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</si>
  <si>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</si>
  <si>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</si>
  <si>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</si>
  <si>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</si>
  <si>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</si>
  <si>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</si>
  <si>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</si>
  <si>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</si>
  <si>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</si>
  <si>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</si>
  <si>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</si>
  <si>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</si>
  <si>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</si>
  <si>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</si>
  <si>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</si>
  <si>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</si>
  <si>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</si>
  <si>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</si>
  <si>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</si>
  <si>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</si>
  <si>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</si>
  <si>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</si>
  <si>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</si>
  <si>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</si>
  <si>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</si>
  <si>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</si>
  <si>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</si>
  <si>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</si>
  <si>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</si>
  <si>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</si>
  <si>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</si>
  <si>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</si>
  <si>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</si>
  <si>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</si>
  <si>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</si>
  <si>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</si>
  <si>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</si>
  <si>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</si>
  <si>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</si>
  <si>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</si>
  <si>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</si>
  <si>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</si>
  <si>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</si>
  <si>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</si>
  <si>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</si>
  <si>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</si>
  <si>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</si>
  <si>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</si>
  <si>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</si>
  <si>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</si>
  <si>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</si>
  <si>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</si>
  <si>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</si>
  <si>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</si>
  <si>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</si>
  <si>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</si>
  <si>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</si>
  <si>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</si>
  <si>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</si>
  <si>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</si>
  <si>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</si>
  <si>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</si>
  <si>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</si>
  <si>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</si>
  <si>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</si>
  <si>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</si>
  <si>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</si>
  <si>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</si>
  <si>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</si>
  <si>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</si>
  <si>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</si>
  <si>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</si>
  <si>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</si>
  <si>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</si>
  <si>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</si>
  <si>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</si>
  <si>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</si>
  <si>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</si>
  <si>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</si>
  <si>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</si>
  <si>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</si>
  <si>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</si>
  <si>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</si>
  <si>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</si>
  <si>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</si>
  <si>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</si>
  <si>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</si>
  <si>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</si>
  <si>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</si>
  <si>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</si>
  <si>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</si>
  <si>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</si>
  <si>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</si>
  <si>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</si>
  <si>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</si>
  <si>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</si>
  <si>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</si>
  <si>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</si>
  <si>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</si>
  <si>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</si>
  <si>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</si>
  <si>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</si>
  <si>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</si>
  <si>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</si>
  <si>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</si>
  <si>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</si>
  <si>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</si>
  <si>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</si>
  <si>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</si>
  <si>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</si>
  <si>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</si>
  <si>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</si>
  <si>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</si>
  <si>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</si>
  <si>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</si>
  <si>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</si>
  <si>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</si>
  <si>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</si>
  <si>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</si>
  <si>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</si>
  <si>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</si>
  <si>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</si>
  <si>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</si>
  <si>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</si>
  <si>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</si>
  <si>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</si>
  <si>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</si>
  <si>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</si>
  <si>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</si>
  <si>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</si>
  <si>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</si>
  <si>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</si>
  <si>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</si>
  <si>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</si>
  <si>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</si>
  <si>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</si>
  <si>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</si>
  <si>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</si>
  <si>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</si>
  <si>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</si>
  <si>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</si>
  <si>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</si>
  <si>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</si>
  <si>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</si>
  <si>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</si>
  <si>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</si>
  <si>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</si>
  <si>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</si>
  <si>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</si>
  <si>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</si>
  <si>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</si>
  <si>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</si>
  <si>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</si>
  <si>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</si>
  <si>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</si>
  <si>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</si>
  <si>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</si>
  <si>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</si>
  <si>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</si>
  <si>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</si>
  <si>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</si>
  <si>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</si>
  <si>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</si>
  <si>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</si>
  <si>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</si>
  <si>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</si>
  <si>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</si>
  <si>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</si>
  <si>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</si>
  <si>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</si>
  <si>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</si>
  <si>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</si>
  <si>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</si>
  <si>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</si>
  <si>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</si>
  <si>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</si>
  <si>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</si>
  <si>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</si>
  <si>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</si>
  <si>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</si>
  <si>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</si>
  <si>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</si>
  <si>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</si>
  <si>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</si>
  <si>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</si>
  <si>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</si>
  <si>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</si>
  <si>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</si>
  <si>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</si>
  <si>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</si>
  <si>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</si>
  <si>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</si>
  <si>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</si>
  <si>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</si>
  <si>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</si>
  <si>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</si>
  <si>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</si>
  <si>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</si>
  <si>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</si>
  <si>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</si>
  <si>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</si>
  <si>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</si>
  <si>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</si>
  <si>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</si>
  <si>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</si>
  <si>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</si>
  <si>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</si>
  <si>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</si>
  <si>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</si>
  <si>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</si>
  <si>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</si>
  <si>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</si>
  <si>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</si>
  <si>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</si>
  <si>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</si>
  <si>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</si>
  <si>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</si>
  <si>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</si>
  <si>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</si>
  <si>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</si>
  <si>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</si>
  <si>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</si>
  <si>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</si>
  <si>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</si>
  <si>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</si>
  <si>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</si>
  <si>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</si>
  <si>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</si>
  <si>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</si>
  <si>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</si>
  <si>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</si>
  <si>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</si>
  <si>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</si>
  <si>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</si>
  <si>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</si>
  <si>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</si>
  <si>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</si>
  <si>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</si>
  <si>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</si>
  <si>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</si>
  <si>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</si>
  <si>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</si>
  <si>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</si>
  <si>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</si>
  <si>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</si>
  <si>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</si>
  <si>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</si>
  <si>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</si>
  <si>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</si>
  <si>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</si>
  <si>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</si>
  <si>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</si>
  <si>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</si>
  <si>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</si>
  <si>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</si>
  <si>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</si>
  <si>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</si>
  <si>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</si>
  <si>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</si>
  <si>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</si>
  <si>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</si>
  <si>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</si>
  <si>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</si>
  <si>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</si>
  <si>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</si>
  <si>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</si>
  <si>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</si>
  <si>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</si>
  <si>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</si>
  <si>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</si>
  <si>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</si>
  <si>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</si>
  <si>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</si>
  <si>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</si>
  <si>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</si>
  <si>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</si>
  <si>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</si>
  <si>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</si>
  <si>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</si>
  <si>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</si>
  <si>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</si>
  <si>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</si>
  <si>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</si>
  <si>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</si>
  <si>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</si>
  <si>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</si>
  <si>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</si>
  <si>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</si>
  <si>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</si>
  <si>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</si>
  <si>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</si>
  <si>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</si>
  <si>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</si>
  <si>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</si>
  <si>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</si>
  <si>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</si>
  <si>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</si>
  <si>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</si>
  <si>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</si>
  <si>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</si>
  <si>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</si>
  <si>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</si>
  <si>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</si>
  <si>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</si>
  <si>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</si>
  <si>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</si>
  <si>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</si>
  <si>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</si>
  <si>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</si>
  <si>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</si>
  <si>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</si>
  <si>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</si>
  <si>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</si>
  <si>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</si>
  <si>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</si>
  <si>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</si>
  <si>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</si>
  <si>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</si>
  <si>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</si>
  <si>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</si>
  <si>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</si>
  <si>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</si>
  <si>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</si>
  <si>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</si>
  <si>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</si>
  <si>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</si>
  <si>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</si>
  <si>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</si>
  <si>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</si>
  <si>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</si>
  <si>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</si>
  <si>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</si>
  <si>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</si>
  <si>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</si>
  <si>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</si>
  <si>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</si>
  <si>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</si>
  <si>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</si>
  <si>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</si>
  <si>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</si>
  <si>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</si>
  <si>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</si>
  <si>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</si>
  <si>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</si>
  <si>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</si>
  <si>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</si>
  <si>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</si>
  <si>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</si>
  <si>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</si>
  <si>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</si>
  <si>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</si>
  <si>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</si>
  <si>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</si>
  <si>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</si>
  <si>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</si>
  <si>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</si>
  <si>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</si>
  <si>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</si>
  <si>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</si>
  <si>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</si>
  <si>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</si>
  <si>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</si>
  <si>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</si>
  <si>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</si>
  <si>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</si>
  <si>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</si>
  <si>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</si>
  <si>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</si>
  <si>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</si>
  <si>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</si>
  <si>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</si>
  <si>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</si>
  <si>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</si>
  <si>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</si>
  <si>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</si>
  <si>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</si>
  <si>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</si>
  <si>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</si>
  <si>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</si>
  <si>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</si>
  <si>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</si>
  <si>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</si>
  <si>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</si>
  <si>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</si>
  <si>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</si>
  <si>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</si>
  <si>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</si>
  <si>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</si>
  <si>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</si>
  <si>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</si>
  <si>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</si>
  <si>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</si>
  <si>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</si>
  <si>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</si>
  <si>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</si>
  <si>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</si>
  <si>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</si>
  <si>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</si>
  <si>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</si>
  <si>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</si>
  <si>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</si>
  <si>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</si>
  <si>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</si>
  <si>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</si>
  <si>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</si>
  <si>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</si>
  <si>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</si>
  <si>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</si>
  <si>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</si>
  <si>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</si>
  <si>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</si>
  <si>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</si>
  <si>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</si>
  <si>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</si>
  <si>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</si>
  <si>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</si>
  <si>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</si>
  <si>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</si>
  <si>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</si>
  <si>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</si>
  <si>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</si>
  <si>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</si>
  <si>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</si>
  <si>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</si>
  <si>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</si>
  <si>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</si>
  <si>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</si>
  <si>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</si>
  <si>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</si>
  <si>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</si>
  <si>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</si>
  <si>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</si>
  <si>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</si>
  <si>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</si>
  <si>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</si>
  <si>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</si>
  <si>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</si>
  <si>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</si>
  <si>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</si>
  <si>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</si>
  <si>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</si>
  <si>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</si>
  <si>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</si>
  <si>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</si>
  <si>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</si>
  <si>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</si>
  <si>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</si>
  <si>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</si>
  <si>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</si>
  <si>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</si>
  <si>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</si>
  <si>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</si>
  <si>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</si>
  <si>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</si>
  <si>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</si>
  <si>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</si>
  <si>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</si>
  <si>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</si>
  <si>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</si>
  <si>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</si>
  <si>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</si>
  <si>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</si>
  <si>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</si>
  <si>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</si>
  <si>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</si>
  <si>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</si>
  <si>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</si>
  <si>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</si>
  <si>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</si>
  <si>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</si>
  <si>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</si>
  <si>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</si>
  <si>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</si>
  <si>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</si>
  <si>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</si>
  <si>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</si>
  <si>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</si>
  <si>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</si>
  <si>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</si>
  <si>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</si>
  <si>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</si>
  <si>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</si>
  <si>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</si>
  <si>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</si>
  <si>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</si>
  <si>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</si>
  <si>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</si>
  <si>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</si>
  <si>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</si>
  <si>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</si>
  <si>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</si>
  <si>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</si>
  <si>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</si>
  <si>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</si>
  <si>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</si>
  <si>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</si>
  <si>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</si>
  <si>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</si>
  <si>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</si>
  <si>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</si>
  <si>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</si>
  <si>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</si>
  <si>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</si>
  <si>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</si>
  <si>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</si>
  <si>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</si>
  <si>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</si>
  <si>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</si>
  <si>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</si>
  <si>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</si>
  <si>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</si>
  <si>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</si>
  <si>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</si>
  <si>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</si>
  <si>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</si>
  <si>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</si>
  <si>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</si>
  <si>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</si>
  <si>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</si>
  <si>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</si>
  <si>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</si>
  <si>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</si>
  <si>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</si>
  <si>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</si>
  <si>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</si>
  <si>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</si>
  <si>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</si>
  <si>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</si>
  <si>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</si>
  <si>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</si>
  <si>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</si>
  <si>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</si>
  <si>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</si>
  <si>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</si>
  <si>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</si>
  <si>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</si>
  <si>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</si>
  <si>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</si>
  <si>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</si>
  <si>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</si>
  <si>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</si>
  <si>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</si>
  <si>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</si>
  <si>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</si>
  <si>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</si>
  <si>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</si>
  <si>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</si>
  <si>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</si>
  <si>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</si>
  <si>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</si>
  <si>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</si>
  <si>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</si>
  <si>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</si>
  <si>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</si>
  <si>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</si>
  <si>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</si>
  <si>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</si>
  <si>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</si>
  <si>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</si>
  <si>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</si>
  <si>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</si>
  <si>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</si>
  <si>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</si>
  <si>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</si>
  <si>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</si>
  <si>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</si>
  <si>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</si>
  <si>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</si>
  <si>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</si>
  <si>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</si>
  <si>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</si>
  <si>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</si>
  <si>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</si>
  <si>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</si>
  <si>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</si>
  <si>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</si>
  <si>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</si>
  <si>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</si>
  <si>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</si>
  <si>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</si>
  <si>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</si>
  <si>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</si>
  <si>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</si>
  <si>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</si>
  <si>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</si>
  <si>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</si>
  <si>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</si>
  <si>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</si>
  <si>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</si>
  <si>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</si>
  <si>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</si>
  <si>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</si>
  <si>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</si>
  <si>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</si>
  <si>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</si>
  <si>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</si>
  <si>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</si>
  <si>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</si>
  <si>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</si>
  <si>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</si>
  <si>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</si>
  <si>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</si>
  <si>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</si>
  <si>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</si>
  <si>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</si>
  <si>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</si>
  <si>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</si>
  <si>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</si>
  <si>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</si>
  <si>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</si>
  <si>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</si>
  <si>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</si>
  <si>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</si>
  <si>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</si>
  <si>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</si>
  <si>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</si>
  <si>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</si>
  <si>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</si>
  <si>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</si>
  <si>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</si>
  <si>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</si>
  <si>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</si>
  <si>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</si>
  <si>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</si>
  <si>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</si>
  <si>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</si>
  <si>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</si>
  <si>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</si>
  <si>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</si>
  <si>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</si>
  <si>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</si>
  <si>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</si>
  <si>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</si>
  <si>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</si>
  <si>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</si>
  <si>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</si>
  <si>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</si>
  <si>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</si>
  <si>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</si>
  <si>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</si>
  <si>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</si>
  <si>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</si>
  <si>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</si>
  <si>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</si>
  <si>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</si>
  <si>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</si>
  <si>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</si>
  <si>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</si>
  <si>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</si>
  <si>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</si>
  <si>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</si>
  <si>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</si>
  <si>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</si>
  <si>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</si>
  <si>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</si>
  <si>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</si>
  <si>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</si>
  <si>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</si>
  <si>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</si>
  <si>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</si>
  <si>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</si>
  <si>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</si>
  <si>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</si>
  <si>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</si>
  <si>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</si>
  <si>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</si>
  <si>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</si>
  <si>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</si>
  <si>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</si>
  <si>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</si>
  <si>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</si>
  <si>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</si>
  <si>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</si>
  <si>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</si>
  <si>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</si>
  <si>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</si>
  <si>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</si>
  <si>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</si>
  <si>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</si>
  <si>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</si>
  <si>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</si>
  <si>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</si>
  <si>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</si>
  <si>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</si>
  <si>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</si>
  <si>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</si>
  <si>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</si>
  <si>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</si>
  <si>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</si>
  <si>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</si>
  <si>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</si>
  <si>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</si>
  <si>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</si>
  <si>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</si>
  <si>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</si>
  <si>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</si>
  <si>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</si>
  <si>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</si>
  <si>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</si>
  <si>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</si>
  <si>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</si>
  <si>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</si>
  <si>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</si>
  <si>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</si>
  <si>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</si>
  <si>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</si>
  <si>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</si>
  <si>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</si>
  <si>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</si>
  <si>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</si>
  <si>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</si>
  <si>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</si>
  <si>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</si>
  <si>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</si>
  <si>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</si>
  <si>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</si>
  <si>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</si>
  <si>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</si>
  <si>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</si>
  <si>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</si>
  <si>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</si>
  <si>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</si>
  <si>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</si>
  <si>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</si>
  <si>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</si>
  <si>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</si>
  <si>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</si>
  <si>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</si>
  <si>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</si>
  <si>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</si>
  <si>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</si>
  <si>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</si>
  <si>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</si>
  <si>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</si>
  <si>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</si>
  <si>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</si>
  <si>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</si>
  <si>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</si>
  <si>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</si>
  <si>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</si>
  <si>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</si>
  <si>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</si>
  <si>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</si>
  <si>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</si>
  <si>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</si>
  <si>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</si>
  <si>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</si>
  <si>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</si>
  <si>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</si>
  <si>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</si>
  <si>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</si>
  <si>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</si>
  <si>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</si>
  <si>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</si>
  <si>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</si>
  <si>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</si>
  <si>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</si>
  <si>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</si>
  <si>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</si>
  <si>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</si>
  <si>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</si>
  <si>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</si>
  <si>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</si>
  <si>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</si>
  <si>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</si>
  <si>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</si>
  <si>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</si>
  <si>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</si>
  <si>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</si>
  <si>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</si>
  <si>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</si>
  <si>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</si>
  <si>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</si>
  <si>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</si>
  <si>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</si>
  <si>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</si>
  <si>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</si>
  <si>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</si>
  <si>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</si>
  <si>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</si>
  <si>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</si>
  <si>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</si>
  <si>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</si>
  <si>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</si>
  <si>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</si>
  <si>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</si>
  <si>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</si>
  <si>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</si>
  <si>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</si>
  <si>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</si>
  <si>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</si>
  <si>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</si>
  <si>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</si>
  <si>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</si>
  <si>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</si>
  <si>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</si>
  <si>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</si>
  <si>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</si>
  <si>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</si>
  <si>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</si>
  <si>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</si>
  <si>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</si>
  <si>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</si>
  <si>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</si>
  <si>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</si>
  <si>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</si>
  <si>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</si>
  <si>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</si>
  <si>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</si>
  <si>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</si>
  <si>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</si>
  <si>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</si>
  <si>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</si>
  <si>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</si>
  <si>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</si>
  <si>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</si>
  <si>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</si>
  <si>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</si>
  <si>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</si>
  <si>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</si>
  <si>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</si>
  <si>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</si>
  <si>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</si>
  <si>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</si>
  <si>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</si>
  <si>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</si>
  <si>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</si>
  <si>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</si>
  <si>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</si>
  <si>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</si>
  <si>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</si>
  <si>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</si>
  <si>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</si>
  <si>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</si>
  <si>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</si>
  <si>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</si>
  <si>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</si>
  <si>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</si>
  <si>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</si>
  <si>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</si>
  <si>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</si>
  <si>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</si>
  <si>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</si>
  <si>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</si>
  <si>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</si>
  <si>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</si>
  <si>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</si>
  <si>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</si>
  <si>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</si>
  <si>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</si>
  <si>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</si>
  <si>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</si>
  <si>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</si>
  <si>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</si>
  <si>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</si>
  <si>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</si>
  <si>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</si>
  <si>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</si>
  <si>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</si>
  <si>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</si>
  <si>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</si>
  <si>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</si>
  <si>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</si>
  <si>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</si>
  <si>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</si>
  <si>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</si>
  <si>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</si>
  <si>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</si>
  <si>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</si>
  <si>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</si>
  <si>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</si>
  <si>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</si>
  <si>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</si>
  <si>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</si>
  <si>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</si>
  <si>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</si>
  <si>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</si>
  <si>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</si>
  <si>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</si>
  <si>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</si>
  <si>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</si>
  <si>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</si>
  <si>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</si>
  <si>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</si>
  <si>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</si>
  <si>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</si>
  <si>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</si>
  <si>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</si>
  <si>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</si>
  <si>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</si>
  <si>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</si>
  <si>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</si>
  <si>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</si>
  <si>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</si>
  <si>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</si>
  <si>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</si>
  <si>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</si>
  <si>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</si>
  <si>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</si>
  <si>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</si>
  <si>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</si>
  <si>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</si>
  <si>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</si>
  <si>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</si>
  <si>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</si>
  <si>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</si>
  <si>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</si>
  <si>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</si>
  <si>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</si>
  <si>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</si>
  <si>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</si>
  <si>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</si>
  <si>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</si>
  <si>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</si>
  <si>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</si>
  <si>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</si>
  <si>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</si>
  <si>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</si>
  <si>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</si>
  <si>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</si>
  <si>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</si>
  <si>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</si>
  <si>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</si>
  <si>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</si>
  <si>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</si>
  <si>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</si>
  <si>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</si>
  <si>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</si>
  <si>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</si>
  <si>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</si>
  <si>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</si>
  <si>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</si>
  <si>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</si>
  <si>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</si>
  <si>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</si>
  <si>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</si>
  <si>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</si>
  <si>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</si>
  <si>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</si>
  <si>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</si>
  <si>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</si>
  <si>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</si>
  <si>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</si>
  <si>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</si>
  <si>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</si>
  <si>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</si>
  <si>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</si>
  <si>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</si>
  <si>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</si>
  <si>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</si>
  <si>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</si>
  <si>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</si>
  <si>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</si>
  <si>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</si>
  <si>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</si>
  <si>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</si>
  <si>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</si>
  <si>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</si>
  <si>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</si>
  <si>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</si>
  <si>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</si>
  <si>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</si>
  <si>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</si>
  <si>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</si>
  <si>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</si>
  <si>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</si>
  <si>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</si>
  <si>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</si>
  <si>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</si>
  <si>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</si>
  <si>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</si>
  <si>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</si>
  <si>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</si>
  <si>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</si>
  <si>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</si>
  <si>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</si>
  <si>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</si>
  <si>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</si>
  <si>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</si>
  <si>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</si>
  <si>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</si>
  <si>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</si>
  <si>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</si>
  <si>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</si>
  <si>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</si>
  <si>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</si>
  <si>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</si>
  <si>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</si>
  <si>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</si>
  <si>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</si>
  <si>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</si>
  <si>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</si>
  <si>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</si>
  <si>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</si>
  <si>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</si>
  <si>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</si>
  <si>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</si>
  <si>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</si>
  <si>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</si>
  <si>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</si>
  <si>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</si>
  <si>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</si>
  <si>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</si>
  <si>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</si>
  <si>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</si>
  <si>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</si>
  <si>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</si>
  <si>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</si>
  <si>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</si>
  <si>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</si>
  <si>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</si>
  <si>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</si>
  <si>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</si>
  <si>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</si>
  <si>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</si>
  <si>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</si>
  <si>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</si>
  <si>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</si>
  <si>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</si>
  <si>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</si>
  <si>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</si>
  <si>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</si>
  <si>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</si>
  <si>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</si>
  <si>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</si>
  <si>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</si>
  <si>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</si>
  <si>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</si>
  <si>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</si>
  <si>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</si>
  <si>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</si>
  <si>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</si>
  <si>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</si>
  <si>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</si>
  <si>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</si>
  <si>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</si>
  <si>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</si>
  <si>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</si>
  <si>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</si>
  <si>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</si>
  <si>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</si>
  <si>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</si>
  <si>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</si>
  <si>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</si>
  <si>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</si>
  <si>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</si>
  <si>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</si>
  <si>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</si>
  <si>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</si>
  <si>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</si>
  <si>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</si>
  <si>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</si>
  <si>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</si>
  <si>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</si>
  <si>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</si>
  <si>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</si>
  <si>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</si>
  <si>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</si>
  <si>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</si>
  <si>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</si>
  <si>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</si>
  <si>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</si>
  <si>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</si>
  <si>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</si>
  <si>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</si>
  <si>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</si>
  <si>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</si>
  <si>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</si>
  <si>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</si>
  <si>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</si>
  <si>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</si>
  <si>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</si>
  <si>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</si>
  <si>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</si>
  <si>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</si>
  <si>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</si>
  <si>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</si>
  <si>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</si>
  <si>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</si>
  <si>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</si>
  <si>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</si>
  <si>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</si>
  <si>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</si>
  <si>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</si>
  <si>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</si>
  <si>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</si>
  <si>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</si>
  <si>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</si>
  <si>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</si>
  <si>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</si>
  <si>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</si>
  <si>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</si>
  <si>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</si>
  <si>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</si>
  <si>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</si>
  <si>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</si>
  <si>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</si>
  <si>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</si>
  <si>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</si>
  <si>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</si>
  <si>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</si>
  <si>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</si>
  <si>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</si>
  <si>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</si>
  <si>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</si>
  <si>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</si>
  <si>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</si>
  <si>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</si>
  <si>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</si>
  <si>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</si>
  <si>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</si>
  <si>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</si>
  <si>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</si>
  <si>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</si>
  <si>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</si>
  <si>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</si>
  <si>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</si>
  <si>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</si>
  <si>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</si>
  <si>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</si>
  <si>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</si>
  <si>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</si>
  <si>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</si>
  <si>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</si>
  <si>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</si>
  <si>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</si>
  <si>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</si>
  <si>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</si>
  <si>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</si>
  <si>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</si>
  <si>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</si>
  <si>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</si>
  <si>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</si>
  <si>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</si>
  <si>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</si>
  <si>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</si>
  <si>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</si>
  <si>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</si>
  <si>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</si>
  <si>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</si>
  <si>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</si>
  <si>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</si>
  <si>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</si>
  <si>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</si>
  <si>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</si>
  <si>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</si>
  <si>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</si>
  <si>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</si>
  <si>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</si>
  <si>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</si>
  <si>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</si>
  <si>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</si>
  <si>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</si>
  <si>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</si>
  <si>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</si>
  <si>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</si>
  <si>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</si>
  <si>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</si>
  <si>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</si>
  <si>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</si>
  <si>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</si>
  <si>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</si>
  <si>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</si>
  <si>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</si>
  <si>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</si>
  <si>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</si>
  <si>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</si>
  <si>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</si>
  <si>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</si>
  <si>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</si>
  <si>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</si>
  <si>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</si>
  <si>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</si>
  <si>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</si>
  <si>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</si>
  <si>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</si>
  <si>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</si>
  <si>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</si>
  <si>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</si>
  <si>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</si>
  <si>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</si>
  <si>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</si>
  <si>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</si>
  <si>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</si>
  <si>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</si>
  <si>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D:\EX Area\Manufacturing Archives\Components</t>
  </si>
  <si>
    <t>D:\EX Area\Manufacturing Archives\Products</t>
  </si>
  <si>
    <t>D:\EX Area\Manufacturing Archives</t>
  </si>
  <si>
    <t>CoC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</si>
</sst>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35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0" fontId="9" fillId="14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166" fontId="0" fillId="20" borderId="0" xfId="0" applyNumberFormat="1" applyFill="1"/>
    <xf numFmtId="166" fontId="0" fillId="20" borderId="0" xfId="0" applyNumberFormat="1" applyFill="1" applyProtection="1">
      <protection locked="0"/>
    </xf>
    <xf numFmtId="0" fontId="9" fillId="17" borderId="0" xfId="0" applyFont="1" applyFill="1" applyAlignment="1" applyProtection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88"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527050</xdr:colOff>
          <xdr:row>0</xdr:row>
          <xdr:rowOff>107950</xdr:rowOff>
        </xdr:from>
        <xdr:to>
          <xdr:col>13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450850</xdr:colOff>
          <xdr:row>0</xdr:row>
          <xdr:rowOff>76200</xdr:rowOff>
        </xdr:from>
        <xdr:to>
          <xdr:col>23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342900</xdr:colOff>
          <xdr:row>0</xdr:row>
          <xdr:rowOff>31750</xdr:rowOff>
        </xdr:from>
        <xdr:to>
          <xdr:col>36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698500</xdr:colOff>
          <xdr:row>0</xdr:row>
          <xdr:rowOff>76200</xdr:rowOff>
        </xdr:from>
        <xdr:to>
          <xdr:col>34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412750</xdr:colOff>
          <xdr:row>0</xdr:row>
          <xdr:rowOff>88900</xdr:rowOff>
        </xdr:from>
        <xdr:to>
          <xdr:col>25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228600</xdr:colOff>
          <xdr:row>0</xdr:row>
          <xdr:rowOff>107950</xdr:rowOff>
        </xdr:from>
        <xdr:to>
          <xdr:col>39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12700</xdr:colOff>
          <xdr:row>0</xdr:row>
          <xdr:rowOff>76200</xdr:rowOff>
        </xdr:from>
        <xdr:to>
          <xdr:col>33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K10" totalsRowShown="0" headerRowDxfId="187" dataDxfId="186" tableBorderDxfId="185">
  <autoFilter ref="A3:K10"/>
  <tableColumns count="11">
    <tableColumn id="1" name="Date Delivered" dataDxfId="184"/>
    <tableColumn id="2" name="PSC Vodec Purchase Order Number" dataDxfId="183"/>
    <tableColumn id="9" name="Type" dataDxfId="182"/>
    <tableColumn id="12" name="CoC" dataDxfId="70"/>
    <tableColumn id="3" name="Sub-contractor Serial Number" dataDxfId="181"/>
    <tableColumn id="4" name="Assigned" dataDxfId="180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79"/>
    <tableColumn id="6" name="QAI0005" dataDxfId="178"/>
    <tableColumn id="7" name="TP0054" dataDxfId="177"/>
    <tableColumn id="10" name="Availability VAP100A" dataDxfId="176">
      <calculatedColumnFormula>IF(VAP100AE[[#This Row],[Type]]="VAP100A",IF(VAP100AE[[#This Row],[TP0054]]="PASS",IF(F4=0,IF(F4="","",E4),""),""),"")</calculatedColumnFormula>
    </tableColumn>
    <tableColumn id="8" name="Availability VAP100E" dataDxfId="175">
      <calculatedColumnFormula>IF(VAP100AE[[#This Row],[Type]]="VAP100E",IF(VAP100AE[[#This Row],[TP0054]]="PASS",IF(F4=0,IF(F4="","",E4),""),""),"")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L3:U5" totalsRowShown="0" headerRowDxfId="174" dataDxfId="71">
  <autoFilter ref="L3:U5"/>
  <tableColumns count="10">
    <tableColumn id="1" name="Date" dataDxfId="81"/>
    <tableColumn id="2" name="PSC PO No" dataDxfId="80"/>
    <tableColumn id="3" name="Type" dataDxfId="79"/>
    <tableColumn id="4" name="Sub-contractor SN" dataDxfId="78"/>
    <tableColumn id="5" name="Assigned" dataDxfId="77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76"/>
    <tableColumn id="7" name="QAI0006" dataDxfId="75"/>
    <tableColumn id="10" name="TP0095" dataDxfId="74"/>
    <tableColumn id="9" name="Availability DX3MC16" dataDxfId="73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72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V3:AI4" totalsRowShown="0" headerRowDxfId="173" dataDxfId="55">
  <autoFilter ref="V3:AI4"/>
  <tableColumns count="14">
    <tableColumn id="1" name="ID" dataDxfId="69"/>
    <tableColumn id="2" name="Date" dataDxfId="68"/>
    <tableColumn id="3" name="Type" dataDxfId="67"/>
    <tableColumn id="4" name="Membrane SN" dataDxfId="66"/>
    <tableColumn id="5" name="VAP100 SN 1" dataDxfId="65"/>
    <tableColumn id="6" name="VAP100 SN 2" dataDxfId="64"/>
    <tableColumn id="7" name="TP0094/96" dataDxfId="63"/>
    <tableColumn id="8" name="QAI0008/9" dataDxfId="62"/>
    <tableColumn id="9" name="Assigned" dataDxfId="61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60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59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58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57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56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J3:AU4" totalsRowShown="0" headerRowDxfId="172" dataDxfId="170" headerRowBorderDxfId="171">
  <autoFilter ref="AJ3:AU4"/>
  <tableColumns count="12">
    <tableColumn id="1" name="PSC Vodec Serial Number" dataDxfId="169"/>
    <tableColumn id="11" name="Panel Type" dataDxfId="168"/>
    <tableColumn id="12" name="ATEX/IECEx?" dataDxfId="167"/>
    <tableColumn id="2" name="ID/SN" dataDxfId="166"/>
    <tableColumn id="3" name="W/O " dataDxfId="165"/>
    <tableColumn id="4" name="Project Name" dataDxfId="164"/>
    <tableColumn id="5" name="Sales Office" dataDxfId="163"/>
    <tableColumn id="6" name="Despatch Date" dataDxfId="162"/>
    <tableColumn id="7" name="Outwards Documentation" dataDxfId="161"/>
    <tableColumn id="8" name="NCR # (if applicable)" dataDxfId="160"/>
    <tableColumn id="9" name="RMA # (if applicable)" dataDxfId="159"/>
    <tableColumn id="10" name="Comment/Fault or Recall" dataDxfId="15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7" dataDxfId="155" headerRowBorderDxfId="156" tableBorderDxfId="154">
  <autoFilter ref="A3:H9"/>
  <tableColumns count="8">
    <tableColumn id="1" name="Date Delivered" dataDxfId="153"/>
    <tableColumn id="2" name="Bartec Vodec Purchase Order Number" dataDxfId="152"/>
    <tableColumn id="3" name="Sub-contractor Serial Number" dataDxfId="151"/>
    <tableColumn id="8" name="Assigned" dataDxfId="150">
      <calculatedColumnFormula>IF(AND(COUNTIF('VB3'!$AM$4:$AM$4,C4)=1,VB3_PCB[[#This Row],[QAI0001]]="PASS",VB3_PCB[[#This Row],[TP0066]]="PASS"),1,0)</calculatedColumnFormula>
    </tableColumn>
    <tableColumn id="4" name="Delivery Received &amp; Filed" dataDxfId="149"/>
    <tableColumn id="5" name="QAI0001" dataDxfId="148"/>
    <tableColumn id="6" name="TP0066" dataDxfId="147"/>
    <tableColumn id="7" name="Availability List" dataDxfId="146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5" dataDxfId="143" headerRowBorderDxfId="144" tableBorderDxfId="142">
  <autoFilter ref="I3:O4"/>
  <tableColumns count="7">
    <tableColumn id="1" name="Date Delivered" dataDxfId="141"/>
    <tableColumn id="2" name="Bartec Vodec Purchase Order" dataDxfId="140"/>
    <tableColumn id="3" name="Delivery Received &amp; Filed" dataDxfId="139"/>
    <tableColumn id="6" name="Assigned" dataDxfId="138">
      <calculatedColumnFormula>IF(AND(COUNTIF('VB3'!$AD$4:$AD$4,M4)=1,VB3_Castings[[#This Row],[QAI0002]]="PASS"),1,0)</calculatedColumnFormula>
    </tableColumn>
    <tableColumn id="4" name="Component Serial Number" dataDxfId="137"/>
    <tableColumn id="5" name="QAI0002" dataDxfId="136"/>
    <tableColumn id="7" name="Availability List" dataDxfId="135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4" dataDxfId="132" headerRowBorderDxfId="133" tableBorderDxfId="131">
  <autoFilter ref="P3:V4"/>
  <tableColumns count="7">
    <tableColumn id="1" name="Date Delivered" dataDxfId="130"/>
    <tableColumn id="2" name="Bartec Vodec Purchase Order" dataDxfId="129"/>
    <tableColumn id="3" name="Delivery Received &amp; Filed" dataDxfId="128"/>
    <tableColumn id="6" name="Assigned" dataDxfId="127">
      <calculatedColumnFormula>IF(AND(COUNTIF('VB3'!$AE$4:$AE$4,T4)=1,VB3_Wellglass[[#This Row],[QAI0003]]="PASS"),1,0)</calculatedColumnFormula>
    </tableColumn>
    <tableColumn id="4" name="Component Serial Number" dataDxfId="126"/>
    <tableColumn id="5" name="QAI0003" dataDxfId="125"/>
    <tableColumn id="7" name="Availability List" dataDxfId="124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3" dataDxfId="121" headerRowBorderDxfId="122" tableBorderDxfId="120">
  <autoFilter ref="W3:AI4"/>
  <tableColumns count="13">
    <tableColumn id="1" name="Preassembly ID" dataDxfId="119"/>
    <tableColumn id="12" name="Assigned" dataDxfId="118">
      <calculatedColumnFormula>IF(AND(COUNTIF('VB3'!$AN$4:$AN$4,W4)=1,VB3_Preassembly[[#This Row],[TP0065 Result]]="PASS"),1,0)</calculatedColumnFormula>
    </tableColumn>
    <tableColumn id="11" name="Availability List" dataDxfId="117">
      <calculatedColumnFormula>IF(AI4="PASS",IF(X4=0,IF(X4="","",W4),""),"")</calculatedColumnFormula>
    </tableColumn>
    <tableColumn id="2" name="Stycast Batch Part 1 Serial Number" dataDxfId="116"/>
    <tableColumn id="3" name="Stycast Batch Part 1 Date" dataDxfId="115"/>
    <tableColumn id="4" name="Stycast Batch Part 2 Serial Number" dataDxfId="114"/>
    <tableColumn id="5" name="Stycast Batch Part 2 Date" dataDxfId="113"/>
    <tableColumn id="6" name="Castings Serial Number" dataDxfId="112"/>
    <tableColumn id="7" name="Wellglass Serial Number" dataDxfId="111"/>
    <tableColumn id="8" name="Ambient Temp" dataDxfId="110"/>
    <tableColumn id="9" name="TP0065 Operative" dataDxfId="109"/>
    <tableColumn id="13" name="TP0065 Date" dataDxfId="108"/>
    <tableColumn id="10" name="TP0065 Result" dataDxfId="10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6" dataDxfId="104" headerRowBorderDxfId="105" tableBorderDxfId="103">
  <autoFilter ref="AJ3:AQ4"/>
  <tableColumns count="8">
    <tableColumn id="1" name="Internal ID" dataDxfId="102"/>
    <tableColumn id="7" name="Assigned" dataDxfId="101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100">
      <calculatedColumnFormula>IF(AQ4="PASS",IF(AK4=0,IF(AK4="","",AJ4),""),"")</calculatedColumnFormula>
    </tableColumn>
    <tableColumn id="2" name="PCB Serial Number" dataDxfId="99"/>
    <tableColumn id="3" name="Preassembly ID" dataDxfId="98"/>
    <tableColumn id="8" name="TP0067" dataDxfId="97"/>
    <tableColumn id="4" name="TP0069" dataDxfId="96"/>
    <tableColumn id="5" name="QAI0004" dataDxfId="9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4" tableBorderDxfId="93">
  <autoFilter ref="AR3:BE4"/>
  <tableColumns count="14">
    <tableColumn id="1" name="Bartec Vodec Serial Number" dataDxfId="92"/>
    <tableColumn id="2" name="VB3 Assembly ID" dataDxfId="91"/>
    <tableColumn id="3" name="Voltage" dataDxfId="90"/>
    <tableColumn id="4" name="Colour" dataDxfId="89"/>
    <tableColumn id="5" name="Torquing Up" dataDxfId="88"/>
    <tableColumn id="6" name="QAI0005" dataDxfId="87"/>
    <tableColumn id="7" name="W/O "/>
    <tableColumn id="8" name="Project Name"/>
    <tableColumn id="9" name="Sales Office"/>
    <tableColumn id="10" name="Despatch Date" dataDxfId="86"/>
    <tableColumn id="11" name="Outwards Documentation" dataDxfId="85"/>
    <tableColumn id="12" name="NCR # (if applicable)" dataDxfId="84"/>
    <tableColumn id="13" name="RMA # (if applicable)" dataDxfId="83"/>
    <tableColumn id="14" name="Comment/Fault or Recall" dataDxfId="8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I5" totalsRowShown="0" headerRowDxfId="45" dataDxfId="44">
  <autoFilter ref="A3:I5"/>
  <tableColumns count="9">
    <tableColumn id="1" name="Date Delivered" dataDxfId="54"/>
    <tableColumn id="2" name=" PSC Vodec Purchase Order Number" dataDxfId="53"/>
    <tableColumn id="12" name="CoC" dataDxfId="52"/>
    <tableColumn id="3" name="Sub-contractor Serial Number" dataDxfId="51"/>
    <tableColumn id="4" name="Assigned" dataDxfId="50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49"/>
    <tableColumn id="6" name="QAI0010" dataDxfId="48"/>
    <tableColumn id="7" name="TP0041" dataDxfId="47"/>
    <tableColumn id="8" name="Availability" dataDxfId="46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K3:W4" totalsRowShown="0" headerRowDxfId="30" dataDxfId="29">
  <autoFilter ref="K3:W4"/>
  <tableColumns count="13">
    <tableColumn id="1" name="Date Delivered" dataDxfId="43"/>
    <tableColumn id="2" name="Bartec Vodec Purchase Order Number" dataDxfId="42"/>
    <tableColumn id="3" name="Serial Number" dataDxfId="41"/>
    <tableColumn id="4" name="Type" dataDxfId="40"/>
    <tableColumn id="5" name="Assigned" dataDxfId="39"/>
    <tableColumn id="6" name="Delivery Received &amp; Filed" dataDxfId="38"/>
    <tableColumn id="7" name="QAI0011" dataDxfId="37"/>
    <tableColumn id="8" name="Availiability 11" dataDxfId="36"/>
    <tableColumn id="9" name="Availability 12" dataDxfId="35"/>
    <tableColumn id="10" name="Availability 13" dataDxfId="34"/>
    <tableColumn id="11" name="Availability 21" dataDxfId="33"/>
    <tableColumn id="12" name="Availability 22" dataDxfId="32"/>
    <tableColumn id="13" name="Availability 23" dataDxfId="31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X3:AJ4" totalsRowShown="0" headerRowDxfId="15" dataDxfId="14">
  <autoFilter ref="X3:AJ4"/>
  <tableColumns count="13">
    <tableColumn id="1" name="ID" dataDxfId="28"/>
    <tableColumn id="3" name="Entry Date" dataDxfId="27"/>
    <tableColumn id="2" name="Type" dataDxfId="26"/>
    <tableColumn id="4" name="VAP100B SN" dataDxfId="25"/>
    <tableColumn id="5" name="TP0016" dataDxfId="24"/>
    <tableColumn id="6" name="QAI0011" dataDxfId="23"/>
    <tableColumn id="7" name="Assigned" dataDxfId="22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21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20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19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18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17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6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K3:AV4" totalsRowShown="0" headerRowDxfId="1" dataDxfId="0">
  <autoFilter ref="AK3:AV4"/>
  <tableColumns count="12">
    <tableColumn id="1" name="PSC V SN" dataDxfId="13"/>
    <tableColumn id="12" name="VAP01 ID" dataDxfId="12"/>
    <tableColumn id="2" name="Type" dataDxfId="11"/>
    <tableColumn id="3" name="Ex Type" dataDxfId="10"/>
    <tableColumn id="4" name="WO No" dataDxfId="9"/>
    <tableColumn id="5" name="Project" dataDxfId="8"/>
    <tableColumn id="6" name="Sales Office" dataDxfId="7"/>
    <tableColumn id="7" name="Despatch Date" dataDxfId="6"/>
    <tableColumn id="8" name="Outwards Documentation" dataDxfId="5"/>
    <tableColumn id="9" name="NCR # (if applicable)" dataDxfId="4"/>
    <tableColumn id="10" name="RMA # (if applicable)" dataDxfId="3"/>
    <tableColumn id="11" name="Comment/Fault or Recall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82" t="s">
        <v>1272</v>
      </c>
      <c r="B2" s="282"/>
      <c r="C2" s="282"/>
      <c r="D2" s="282"/>
      <c r="E2" s="282"/>
      <c r="F2" s="282"/>
      <c r="G2" s="282"/>
      <c r="H2" s="282"/>
      <c r="I2" s="282"/>
      <c r="J2" s="282"/>
      <c r="K2" s="282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74">
        <v>1303</v>
      </c>
      <c r="B1177" s="276" t="s">
        <v>1507</v>
      </c>
      <c r="C1177" s="45" t="s">
        <v>1581</v>
      </c>
      <c r="D1177" s="278" t="s">
        <v>1580</v>
      </c>
      <c r="E1177" s="10"/>
      <c r="F1177" s="283" t="s">
        <v>1583</v>
      </c>
      <c r="G1177" s="278" t="s">
        <v>1179</v>
      </c>
      <c r="H1177" s="280">
        <v>42318</v>
      </c>
      <c r="I1177" s="278" t="s">
        <v>1181</v>
      </c>
      <c r="J1177" s="280">
        <v>42318</v>
      </c>
      <c r="K1177" s="43" t="s">
        <v>1584</v>
      </c>
    </row>
    <row r="1178" spans="1:11" x14ac:dyDescent="0.25">
      <c r="A1178" s="275"/>
      <c r="B1178" s="277"/>
      <c r="C1178" s="45" t="s">
        <v>1582</v>
      </c>
      <c r="D1178" s="279"/>
      <c r="E1178" s="10"/>
      <c r="F1178" s="284"/>
      <c r="G1178" s="279"/>
      <c r="H1178" s="281"/>
      <c r="I1178" s="279"/>
      <c r="J1178" s="281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74">
        <v>1306</v>
      </c>
      <c r="B1187" s="276" t="s">
        <v>257</v>
      </c>
      <c r="C1187" s="45" t="s">
        <v>1599</v>
      </c>
      <c r="D1187" s="278" t="s">
        <v>1601</v>
      </c>
      <c r="E1187" s="10"/>
      <c r="F1187" s="278" t="s">
        <v>33</v>
      </c>
      <c r="G1187" s="278" t="s">
        <v>1202</v>
      </c>
      <c r="H1187" s="280">
        <v>42388</v>
      </c>
      <c r="I1187" s="278" t="s">
        <v>1368</v>
      </c>
      <c r="J1187" s="278" t="s">
        <v>1602</v>
      </c>
      <c r="K1187" s="276" t="s">
        <v>1603</v>
      </c>
    </row>
    <row r="1188" spans="1:11" x14ac:dyDescent="0.25">
      <c r="A1188" s="275"/>
      <c r="B1188" s="277"/>
      <c r="C1188" s="80" t="s">
        <v>1600</v>
      </c>
      <c r="D1188" s="279"/>
      <c r="E1188" s="10"/>
      <c r="F1188" s="279"/>
      <c r="G1188" s="279"/>
      <c r="H1188" s="281"/>
      <c r="I1188" s="279"/>
      <c r="J1188" s="279"/>
      <c r="K1188" s="277"/>
    </row>
    <row r="1189" spans="1:11" x14ac:dyDescent="0.25">
      <c r="A1189" s="274">
        <v>1307</v>
      </c>
      <c r="B1189" s="276" t="s">
        <v>257</v>
      </c>
      <c r="C1189" s="45" t="s">
        <v>1604</v>
      </c>
      <c r="D1189" s="278" t="s">
        <v>1601</v>
      </c>
      <c r="E1189" s="10"/>
      <c r="F1189" s="278" t="s">
        <v>33</v>
      </c>
      <c r="G1189" s="278" t="s">
        <v>1202</v>
      </c>
      <c r="H1189" s="280">
        <v>42388</v>
      </c>
      <c r="I1189" s="278" t="s">
        <v>1368</v>
      </c>
      <c r="J1189" s="278" t="s">
        <v>1602</v>
      </c>
      <c r="K1189" s="276" t="s">
        <v>1606</v>
      </c>
    </row>
    <row r="1190" spans="1:11" x14ac:dyDescent="0.25">
      <c r="A1190" s="275"/>
      <c r="B1190" s="277"/>
      <c r="C1190" s="80" t="s">
        <v>1605</v>
      </c>
      <c r="D1190" s="279"/>
      <c r="E1190" s="10"/>
      <c r="F1190" s="279"/>
      <c r="G1190" s="279"/>
      <c r="H1190" s="281"/>
      <c r="I1190" s="279"/>
      <c r="J1190" s="279"/>
      <c r="K1190" s="277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U103"/>
  <sheetViews>
    <sheetView zoomScale="90" zoomScaleNormal="90" workbookViewId="0">
      <pane ySplit="3" topLeftCell="A4" activePane="bottomLeft" state="frozen"/>
      <selection pane="bottomLeft" activeCell="C25" sqref="C25"/>
    </sheetView>
  </sheetViews>
  <sheetFormatPr defaultRowHeight="12.5" x14ac:dyDescent="0.25"/>
  <cols>
    <col min="1" max="1" width="19.1796875" style="265" bestFit="1" customWidth="1"/>
    <col min="2" max="2" width="15.54296875" customWidth="1"/>
    <col min="3" max="3" width="13.81640625" customWidth="1"/>
    <col min="4" max="4" width="18.54296875" customWidth="1"/>
    <col min="5" max="5" width="14.81640625" bestFit="1" customWidth="1"/>
    <col min="6" max="6" width="15.453125" style="265" customWidth="1"/>
    <col min="7" max="7" width="16.1796875" bestFit="1" customWidth="1"/>
    <col min="8" max="8" width="11.81640625" customWidth="1"/>
    <col min="9" max="10" width="18.453125" customWidth="1"/>
    <col min="11" max="11" width="18" customWidth="1"/>
    <col min="12" max="12" width="17.7265625" style="139" bestFit="1" customWidth="1"/>
    <col min="13" max="13" width="11.81640625" customWidth="1"/>
    <col min="14" max="14" width="11" bestFit="1" customWidth="1"/>
    <col min="15" max="15" width="17.1796875" customWidth="1"/>
    <col min="16" max="16" width="11" customWidth="1"/>
    <col min="17" max="17" width="16.453125" style="139" customWidth="1"/>
    <col min="18" max="18" width="13.1796875" bestFit="1" customWidth="1"/>
    <col min="19" max="19" width="12.1796875" bestFit="1" customWidth="1"/>
    <col min="20" max="20" width="15.54296875" customWidth="1"/>
    <col min="21" max="21" width="14.81640625" customWidth="1"/>
    <col min="22" max="22" width="8.81640625" customWidth="1"/>
    <col min="23" max="23" width="12.1796875" style="139" customWidth="1"/>
    <col min="24" max="24" width="11.1796875" customWidth="1"/>
    <col min="25" max="25" width="15" customWidth="1"/>
    <col min="26" max="26" width="16.81640625" customWidth="1"/>
    <col min="27" max="27" width="15.81640625" customWidth="1"/>
    <col min="28" max="28" width="12.1796875" customWidth="1"/>
    <col min="29" max="29" width="11.81640625" customWidth="1"/>
    <col min="30" max="30" width="12" bestFit="1" customWidth="1"/>
    <col min="31" max="31" width="12.1796875" customWidth="1"/>
    <col min="32" max="35" width="12.1796875" bestFit="1" customWidth="1"/>
    <col min="36" max="36" width="15.81640625" customWidth="1"/>
    <col min="37" max="38" width="14.81640625" customWidth="1"/>
    <col min="39" max="39" width="17.81640625" customWidth="1"/>
    <col min="40" max="40" width="11.453125" customWidth="1"/>
    <col min="41" max="41" width="14.54296875" customWidth="1"/>
    <col min="42" max="42" width="17.81640625" customWidth="1"/>
    <col min="43" max="43" width="15.81640625" customWidth="1"/>
    <col min="44" max="44" width="25.1796875" customWidth="1"/>
    <col min="45" max="46" width="20.54296875" customWidth="1"/>
    <col min="47" max="47" width="25.81640625" customWidth="1"/>
  </cols>
  <sheetData>
    <row r="1" spans="1:47" ht="13" x14ac:dyDescent="0.25">
      <c r="A1" s="285" t="s">
        <v>1658</v>
      </c>
      <c r="B1" s="285"/>
      <c r="C1" s="285"/>
      <c r="D1" s="285"/>
      <c r="E1" s="285"/>
      <c r="F1" s="285"/>
      <c r="G1" s="285"/>
      <c r="H1" s="285"/>
      <c r="I1" s="157"/>
      <c r="J1" s="273"/>
      <c r="K1" s="154"/>
      <c r="L1" s="287" t="s">
        <v>1660</v>
      </c>
      <c r="M1" s="287"/>
      <c r="N1" s="287"/>
      <c r="O1" s="287"/>
      <c r="P1" s="287"/>
      <c r="Q1" s="287"/>
      <c r="R1" s="287"/>
      <c r="S1" s="287"/>
      <c r="T1" s="287"/>
      <c r="U1" s="287"/>
      <c r="V1" s="288" t="s">
        <v>1678</v>
      </c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9" t="s">
        <v>1672</v>
      </c>
      <c r="AK1" s="289"/>
      <c r="AL1" s="289"/>
      <c r="AM1" s="289"/>
      <c r="AN1" s="289"/>
      <c r="AO1" s="289"/>
      <c r="AP1" s="289"/>
      <c r="AQ1" s="289"/>
      <c r="AR1" s="289"/>
      <c r="AS1" s="289"/>
      <c r="AT1" s="289"/>
      <c r="AU1" s="289"/>
    </row>
    <row r="2" spans="1:47" ht="13" x14ac:dyDescent="0.25">
      <c r="A2" s="286"/>
      <c r="B2" s="286"/>
      <c r="C2" s="286"/>
      <c r="D2" s="286"/>
      <c r="E2" s="286"/>
      <c r="F2" s="286"/>
      <c r="G2" s="286"/>
      <c r="H2" s="286"/>
      <c r="I2" s="155"/>
      <c r="J2" s="155"/>
      <c r="K2" s="155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9"/>
      <c r="AK2" s="289"/>
      <c r="AL2" s="289"/>
      <c r="AM2" s="289"/>
      <c r="AN2" s="289"/>
      <c r="AO2" s="289"/>
      <c r="AP2" s="289"/>
      <c r="AQ2" s="289"/>
      <c r="AR2" s="289"/>
      <c r="AS2" s="289"/>
      <c r="AT2" s="289"/>
      <c r="AU2" s="289"/>
    </row>
    <row r="3" spans="1:47" ht="39" x14ac:dyDescent="0.3">
      <c r="A3" s="262" t="s">
        <v>692</v>
      </c>
      <c r="B3" s="123" t="s">
        <v>1712</v>
      </c>
      <c r="C3" s="123" t="s">
        <v>1659</v>
      </c>
      <c r="D3" s="123" t="s">
        <v>1835</v>
      </c>
      <c r="E3" s="124" t="s">
        <v>2</v>
      </c>
      <c r="F3" s="124" t="s">
        <v>1637</v>
      </c>
      <c r="G3" s="267" t="s">
        <v>1613</v>
      </c>
      <c r="H3" s="176" t="s">
        <v>1633</v>
      </c>
      <c r="I3" s="177" t="s">
        <v>1657</v>
      </c>
      <c r="J3" s="153" t="s">
        <v>1668</v>
      </c>
      <c r="K3" s="156" t="s">
        <v>1669</v>
      </c>
      <c r="L3" s="215" t="s">
        <v>1661</v>
      </c>
      <c r="M3" s="158" t="s">
        <v>1784</v>
      </c>
      <c r="N3" s="158" t="s">
        <v>1659</v>
      </c>
      <c r="O3" s="159" t="s">
        <v>1662</v>
      </c>
      <c r="P3" s="159" t="s">
        <v>1637</v>
      </c>
      <c r="Q3" s="217" t="s">
        <v>1613</v>
      </c>
      <c r="R3" s="159" t="s">
        <v>1663</v>
      </c>
      <c r="S3" s="159" t="s">
        <v>1793</v>
      </c>
      <c r="T3" s="159" t="s">
        <v>1671</v>
      </c>
      <c r="U3" s="159" t="s">
        <v>1670</v>
      </c>
      <c r="V3" s="163" t="s">
        <v>1664</v>
      </c>
      <c r="W3" s="216" t="s">
        <v>1661</v>
      </c>
      <c r="X3" s="163" t="s">
        <v>1659</v>
      </c>
      <c r="Y3" s="163" t="s">
        <v>1665</v>
      </c>
      <c r="Z3" s="163" t="s">
        <v>1666</v>
      </c>
      <c r="AA3" s="163" t="s">
        <v>1667</v>
      </c>
      <c r="AB3" s="163" t="s">
        <v>1794</v>
      </c>
      <c r="AC3" s="163" t="s">
        <v>1679</v>
      </c>
      <c r="AD3" s="163" t="s">
        <v>1637</v>
      </c>
      <c r="AE3" s="163" t="s">
        <v>1671</v>
      </c>
      <c r="AF3" s="163" t="s">
        <v>1674</v>
      </c>
      <c r="AG3" s="163" t="s">
        <v>1675</v>
      </c>
      <c r="AH3" s="163" t="s">
        <v>1676</v>
      </c>
      <c r="AI3" s="163" t="s">
        <v>1677</v>
      </c>
      <c r="AJ3" s="160" t="s">
        <v>1711</v>
      </c>
      <c r="AK3" s="160" t="s">
        <v>1673</v>
      </c>
      <c r="AL3" s="160" t="s">
        <v>1680</v>
      </c>
      <c r="AM3" s="160" t="s">
        <v>1706</v>
      </c>
      <c r="AN3" s="161" t="s">
        <v>3</v>
      </c>
      <c r="AO3" s="161" t="s">
        <v>4</v>
      </c>
      <c r="AP3" s="161" t="s">
        <v>1622</v>
      </c>
      <c r="AQ3" s="161" t="s">
        <v>5</v>
      </c>
      <c r="AR3" s="162" t="s">
        <v>1615</v>
      </c>
      <c r="AS3" s="162" t="s">
        <v>194</v>
      </c>
      <c r="AT3" s="162" t="s">
        <v>195</v>
      </c>
      <c r="AU3" s="161" t="s">
        <v>6</v>
      </c>
    </row>
    <row r="4" spans="1:47" x14ac:dyDescent="0.25">
      <c r="A4" s="263"/>
      <c r="B4" s="179"/>
      <c r="C4" s="179"/>
      <c r="D4" s="179"/>
      <c r="E4" s="180"/>
      <c r="F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4" s="268"/>
      <c r="H4" s="184"/>
      <c r="I4" s="183"/>
      <c r="J4" s="246" t="str">
        <f>IF(VAP100AE[[#This Row],[Type]]="VAP100A",IF(VAP100AE[[#This Row],[TP0054]]="PASS",IF(F4=0,IF(F4="","",E4),""),""),"")</f>
        <v/>
      </c>
      <c r="K4" s="180" t="str">
        <f>IF(VAP100AE[[#This Row],[Type]]="VAP100E",IF(VAP100AE[[#This Row],[TP0054]]="PASS",IF(F4=0,IF(F4="","",E4),""),""),"")</f>
        <v/>
      </c>
      <c r="L4" s="178"/>
      <c r="M4" s="185"/>
      <c r="N4" s="185"/>
      <c r="O4" s="185"/>
      <c r="P4" s="180">
        <f>IF(AND(COUNTIF(Assembly[Membrane SN],Membranes[[#This Row],[Sub-contractor SN]])=1,Membranes[[#This Row],[QAI0006]]="PASS"),1,0)</f>
        <v>0</v>
      </c>
      <c r="Q4" s="182"/>
      <c r="R4" s="183"/>
      <c r="S4" s="183"/>
      <c r="T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U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V4" s="180"/>
      <c r="W4" s="178"/>
      <c r="X4" s="180"/>
      <c r="Y4" s="183"/>
      <c r="Z4" s="183"/>
      <c r="AA4" s="183"/>
      <c r="AB4" s="183"/>
      <c r="AC4" s="183"/>
      <c r="AD4" s="180">
        <f>IF(AND(COUNTIF(VAP_Destination[ID/SN],Assembly[[#This Row],[ID]])=1,Assembly[[#This Row],[TP0094/96]]="PASS",Assembly[[#This Row],[QAI0008/9]]="PASS"),1,0)</f>
        <v>0</v>
      </c>
      <c r="AE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J4" s="254">
        <v>0</v>
      </c>
      <c r="AK4" s="251"/>
      <c r="AL4" s="251"/>
      <c r="AM4" s="251"/>
      <c r="AN4" s="252"/>
      <c r="AO4" s="252"/>
      <c r="AP4" s="252"/>
      <c r="AQ4" s="252"/>
      <c r="AR4" s="253"/>
      <c r="AS4" s="253"/>
      <c r="AT4" s="253"/>
      <c r="AU4" s="257"/>
    </row>
    <row r="5" spans="1:47" s="34" customFormat="1" x14ac:dyDescent="0.25">
      <c r="A5" s="264">
        <v>43808</v>
      </c>
      <c r="B5" s="258" t="s">
        <v>1812</v>
      </c>
      <c r="C5" s="259" t="s">
        <v>1507</v>
      </c>
      <c r="D5" s="259"/>
      <c r="E5" s="260" t="s">
        <v>1813</v>
      </c>
      <c r="F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5" s="269">
        <v>44124</v>
      </c>
      <c r="H5" s="199" t="s">
        <v>1641</v>
      </c>
      <c r="I5" s="200" t="s">
        <v>1641</v>
      </c>
      <c r="J5" s="213" t="str">
        <f>IF(VAP100AE[[#This Row],[Type]]="VAP100A",IF(VAP100AE[[#This Row],[TP0054]]="PASS",IF(F5=0,IF(F5="","",E5),""),""),"")</f>
        <v/>
      </c>
      <c r="K5" s="198" t="str">
        <f>IF(VAP100AE[[#This Row],[Type]]="VAP100E",IF(VAP100AE[[#This Row],[TP0054]]="PASS",IF(F5=0,IF(F5="","",E5),""),""),"")</f>
        <v>RN519215/1219/AD</v>
      </c>
      <c r="L5" s="320">
        <v>36892</v>
      </c>
      <c r="M5" s="185">
        <v>1</v>
      </c>
      <c r="N5" s="185" t="s">
        <v>27</v>
      </c>
      <c r="O5" s="185">
        <v>1</v>
      </c>
      <c r="P5" s="181">
        <f>IF(AND(COUNTIF(Assembly[Membrane SN],Membranes[[#This Row],[Sub-contractor SN]])=1,Membranes[[#This Row],[QAI0006]]="PASS"),1,0)</f>
        <v>0</v>
      </c>
      <c r="Q5" s="321"/>
      <c r="R5" s="183" t="s">
        <v>1644</v>
      </c>
      <c r="S5" s="183" t="s">
        <v>1644</v>
      </c>
      <c r="T5" s="246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U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1:47" s="34" customFormat="1" x14ac:dyDescent="0.25">
      <c r="A6" s="264">
        <v>43808</v>
      </c>
      <c r="B6" s="258" t="s">
        <v>1812</v>
      </c>
      <c r="C6" s="259" t="s">
        <v>1507</v>
      </c>
      <c r="D6" s="259"/>
      <c r="E6" s="260" t="s">
        <v>1814</v>
      </c>
      <c r="F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6" s="269">
        <v>44124</v>
      </c>
      <c r="H6" s="199" t="s">
        <v>1641</v>
      </c>
      <c r="I6" s="200" t="s">
        <v>1641</v>
      </c>
      <c r="J6" s="213" t="str">
        <f>IF(VAP100AE[[#This Row],[Type]]="VAP100A",IF(VAP100AE[[#This Row],[TP0054]]="PASS",IF(F6=0,IF(F6="","",E6),""),""),"")</f>
        <v/>
      </c>
      <c r="K6" s="198" t="str">
        <f>IF(VAP100AE[[#This Row],[Type]]="VAP100E",IF(VAP100AE[[#This Row],[TP0054]]="PASS",IF(F6=0,IF(F6="","",E6),""),""),"")</f>
        <v>RN/519211/1219/AD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1:47" s="34" customFormat="1" x14ac:dyDescent="0.25">
      <c r="A7" s="264">
        <v>43808</v>
      </c>
      <c r="B7" s="258" t="s">
        <v>1812</v>
      </c>
      <c r="C7" s="259" t="s">
        <v>1507</v>
      </c>
      <c r="D7" s="259"/>
      <c r="E7" s="260" t="s">
        <v>1815</v>
      </c>
      <c r="F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7" s="269">
        <v>44124</v>
      </c>
      <c r="H7" s="199" t="s">
        <v>1641</v>
      </c>
      <c r="I7" s="200" t="s">
        <v>1641</v>
      </c>
      <c r="J7" s="213" t="str">
        <f>IF(VAP100AE[[#This Row],[Type]]="VAP100A",IF(VAP100AE[[#This Row],[TP0054]]="PASS",IF(F7=0,IF(F7="","",E7),""),""),"")</f>
        <v/>
      </c>
      <c r="K7" s="198" t="str">
        <f>IF(VAP100AE[[#This Row],[Type]]="VAP100E",IF(VAP100AE[[#This Row],[TP0054]]="PASS",IF(F7=0,IF(F7="","",E7),""),""),"")</f>
        <v>RN/519225/1219/AD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1:47" s="34" customFormat="1" x14ac:dyDescent="0.25">
      <c r="A8" s="264">
        <v>43808</v>
      </c>
      <c r="B8" s="258" t="s">
        <v>1812</v>
      </c>
      <c r="C8" s="259" t="s">
        <v>1507</v>
      </c>
      <c r="D8" s="259"/>
      <c r="E8" s="260" t="s">
        <v>1816</v>
      </c>
      <c r="F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8" s="269">
        <v>44124</v>
      </c>
      <c r="H8" s="199" t="s">
        <v>1641</v>
      </c>
      <c r="I8" s="200" t="s">
        <v>1641</v>
      </c>
      <c r="J8" s="213" t="str">
        <f>IF(VAP100AE[[#This Row],[Type]]="VAP100A",IF(VAP100AE[[#This Row],[TP0054]]="PASS",IF(F8=0,IF(F8="","",E8),""),""),"")</f>
        <v/>
      </c>
      <c r="K8" s="198" t="str">
        <f>IF(VAP100AE[[#This Row],[Type]]="VAP100E",IF(VAP100AE[[#This Row],[TP0054]]="PASS",IF(F8=0,IF(F8="","",E8),""),""),"")</f>
        <v>RN/519209/1219/AD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1:47" x14ac:dyDescent="0.25">
      <c r="A9" s="264">
        <v>43808</v>
      </c>
      <c r="B9" s="258" t="s">
        <v>1812</v>
      </c>
      <c r="C9" s="259" t="s">
        <v>1507</v>
      </c>
      <c r="D9" s="259"/>
      <c r="E9" s="260" t="s">
        <v>1817</v>
      </c>
      <c r="F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9" s="269">
        <v>44124</v>
      </c>
      <c r="H9" s="199" t="s">
        <v>1641</v>
      </c>
      <c r="I9" s="200" t="s">
        <v>1641</v>
      </c>
      <c r="J9" s="213" t="str">
        <f>IF(VAP100AE[[#This Row],[Type]]="VAP100A",IF(VAP100AE[[#This Row],[TP0054]]="PASS",IF(F9=0,IF(F9="","",E9),""),""),"")</f>
        <v/>
      </c>
      <c r="K9" s="198" t="str">
        <f>IF(VAP100AE[[#This Row],[Type]]="VAP100E",IF(VAP100AE[[#This Row],[TP0054]]="PASS",IF(F9=0,IF(F9="","",E9),""),""),"")</f>
        <v>RN/519210/1219/AD</v>
      </c>
      <c r="L9"/>
      <c r="Q9"/>
      <c r="W9"/>
    </row>
    <row r="10" spans="1:47" x14ac:dyDescent="0.25">
      <c r="A10" s="264">
        <v>43808</v>
      </c>
      <c r="B10" s="258" t="s">
        <v>1812</v>
      </c>
      <c r="C10" s="259" t="s">
        <v>1507</v>
      </c>
      <c r="D10" s="259"/>
      <c r="E10" s="260" t="s">
        <v>1818</v>
      </c>
      <c r="F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10" s="269">
        <v>44124</v>
      </c>
      <c r="H10" s="199" t="s">
        <v>1641</v>
      </c>
      <c r="I10" s="200" t="s">
        <v>1641</v>
      </c>
      <c r="J10" s="213" t="str">
        <f>IF(VAP100AE[[#This Row],[Type]]="VAP100A",IF(VAP100AE[[#This Row],[TP0054]]="PASS",IF(F10=0,IF(F10="","",E10),""),""),"")</f>
        <v/>
      </c>
      <c r="K10" s="198" t="str">
        <f>IF(VAP100AE[[#This Row],[Type]]="VAP100E",IF(VAP100AE[[#This Row],[TP0054]]="PASS",IF(F10=0,IF(F10="","",E10),""),""),"")</f>
        <v>RN/519223/1219/AD</v>
      </c>
      <c r="L10"/>
      <c r="Q10"/>
      <c r="W10"/>
    </row>
    <row r="11" spans="1:47" x14ac:dyDescent="0.25">
      <c r="A11"/>
      <c r="F11"/>
      <c r="L11"/>
      <c r="Q11"/>
      <c r="W11"/>
    </row>
    <row r="12" spans="1:47" x14ac:dyDescent="0.25">
      <c r="A12"/>
      <c r="F12"/>
      <c r="L12"/>
      <c r="Q12"/>
      <c r="W12"/>
    </row>
    <row r="13" spans="1:47" x14ac:dyDescent="0.25">
      <c r="A13"/>
      <c r="F13"/>
      <c r="L13"/>
      <c r="Q13"/>
      <c r="W13"/>
    </row>
    <row r="14" spans="1:47" x14ac:dyDescent="0.25">
      <c r="A14"/>
      <c r="F14"/>
      <c r="L14"/>
      <c r="Q14"/>
      <c r="W14"/>
    </row>
    <row r="15" spans="1:47" x14ac:dyDescent="0.25">
      <c r="L15"/>
      <c r="Q15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16" spans="1:47" x14ac:dyDescent="0.25">
      <c r="L16"/>
      <c r="Q16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</row>
    <row r="17" spans="12:35" x14ac:dyDescent="0.25">
      <c r="L17"/>
      <c r="Q17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</row>
    <row r="18" spans="12:35" x14ac:dyDescent="0.25">
      <c r="L18"/>
      <c r="Q18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</row>
    <row r="19" spans="12:35" x14ac:dyDescent="0.25">
      <c r="L19"/>
      <c r="Q19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</row>
    <row r="20" spans="12:35" x14ac:dyDescent="0.25">
      <c r="L20"/>
      <c r="Q20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</row>
    <row r="21" spans="12:35" x14ac:dyDescent="0.25">
      <c r="L21"/>
      <c r="Q21"/>
      <c r="V21" s="34"/>
      <c r="W21" s="34"/>
      <c r="X21" s="34"/>
      <c r="Y21" s="34"/>
      <c r="Z21" s="34"/>
      <c r="AA21" s="34"/>
      <c r="AB21" s="34"/>
      <c r="AC21" s="34"/>
      <c r="AD21" s="34"/>
      <c r="AE21" s="170"/>
      <c r="AF21" s="170"/>
      <c r="AG21" s="170"/>
      <c r="AH21" s="170"/>
      <c r="AI21" s="170"/>
    </row>
    <row r="22" spans="12:35" x14ac:dyDescent="0.25">
      <c r="L22"/>
      <c r="Q22"/>
      <c r="V22" s="34"/>
      <c r="W22" s="34"/>
      <c r="X22" s="34"/>
      <c r="Y22" s="34"/>
      <c r="Z22" s="34"/>
      <c r="AA22" s="34"/>
      <c r="AB22" s="34"/>
      <c r="AC22" s="34"/>
      <c r="AD22" s="34"/>
      <c r="AE22" s="170"/>
      <c r="AF22" s="170"/>
      <c r="AG22" s="170"/>
      <c r="AH22" s="170"/>
      <c r="AI22" s="170"/>
    </row>
    <row r="23" spans="12:35" x14ac:dyDescent="0.25">
      <c r="L23"/>
      <c r="Q23"/>
      <c r="W23"/>
    </row>
    <row r="24" spans="12:35" x14ac:dyDescent="0.25">
      <c r="L24"/>
      <c r="Q24"/>
      <c r="W24"/>
    </row>
    <row r="25" spans="12:35" x14ac:dyDescent="0.25">
      <c r="L25"/>
      <c r="Q25"/>
      <c r="W25"/>
    </row>
    <row r="26" spans="12:35" x14ac:dyDescent="0.25">
      <c r="L26"/>
      <c r="Q26"/>
      <c r="W26"/>
    </row>
    <row r="27" spans="12:35" x14ac:dyDescent="0.25">
      <c r="L27"/>
      <c r="Q27"/>
      <c r="W27"/>
    </row>
    <row r="28" spans="12:35" x14ac:dyDescent="0.25">
      <c r="L28"/>
      <c r="Q28"/>
      <c r="W28"/>
    </row>
    <row r="29" spans="12:35" x14ac:dyDescent="0.25">
      <c r="L29"/>
      <c r="Q29"/>
      <c r="W29"/>
    </row>
    <row r="30" spans="12:35" x14ac:dyDescent="0.25">
      <c r="L30"/>
      <c r="Q30"/>
      <c r="W30"/>
    </row>
    <row r="31" spans="12:35" x14ac:dyDescent="0.25">
      <c r="L31"/>
      <c r="Q31"/>
      <c r="W31"/>
    </row>
    <row r="32" spans="12:35" x14ac:dyDescent="0.25">
      <c r="L32"/>
      <c r="Q32"/>
      <c r="W32"/>
    </row>
    <row r="33" spans="12:23" x14ac:dyDescent="0.25">
      <c r="L33"/>
      <c r="Q33"/>
      <c r="W33"/>
    </row>
    <row r="34" spans="12:23" x14ac:dyDescent="0.25">
      <c r="L34"/>
      <c r="Q34"/>
      <c r="W34"/>
    </row>
    <row r="35" spans="12:23" x14ac:dyDescent="0.25">
      <c r="L35" s="34"/>
      <c r="M35" s="34"/>
      <c r="N35" s="34"/>
      <c r="O35" s="34"/>
      <c r="P35" s="34"/>
      <c r="Q35" s="34"/>
      <c r="R35" s="34"/>
      <c r="S35" s="34"/>
      <c r="T35" s="34"/>
      <c r="U35" s="34"/>
      <c r="W35"/>
    </row>
    <row r="36" spans="12:23" x14ac:dyDescent="0.25">
      <c r="L36" s="34"/>
      <c r="M36" s="34"/>
      <c r="N36" s="34"/>
      <c r="O36" s="34"/>
      <c r="P36" s="34"/>
      <c r="Q36" s="34"/>
      <c r="R36" s="34"/>
      <c r="S36" s="34"/>
      <c r="T36" s="34"/>
      <c r="U36" s="34"/>
      <c r="W36"/>
    </row>
    <row r="37" spans="12:23" x14ac:dyDescent="0.25">
      <c r="L37" s="34"/>
      <c r="M37" s="34"/>
      <c r="N37" s="34"/>
      <c r="O37" s="34"/>
      <c r="P37" s="34"/>
      <c r="Q37" s="34"/>
      <c r="R37" s="34"/>
      <c r="S37" s="34"/>
      <c r="T37" s="34"/>
      <c r="U37" s="34"/>
      <c r="W37"/>
    </row>
    <row r="38" spans="12:23" x14ac:dyDescent="0.25">
      <c r="L38" s="34"/>
      <c r="M38" s="34"/>
      <c r="N38" s="34"/>
      <c r="O38" s="34"/>
      <c r="P38" s="34"/>
      <c r="Q38" s="34"/>
      <c r="R38" s="34"/>
      <c r="S38" s="34"/>
      <c r="T38" s="34"/>
      <c r="U38" s="34"/>
      <c r="W38"/>
    </row>
    <row r="39" spans="12:23" x14ac:dyDescent="0.25">
      <c r="L39" s="34"/>
      <c r="M39" s="34"/>
      <c r="N39" s="34"/>
      <c r="O39" s="34"/>
      <c r="P39" s="34"/>
      <c r="Q39" s="34"/>
      <c r="R39" s="34"/>
      <c r="S39" s="34"/>
      <c r="T39" s="34"/>
      <c r="U39" s="34"/>
      <c r="W39"/>
    </row>
    <row r="40" spans="12:23" x14ac:dyDescent="0.25">
      <c r="L40" s="34"/>
      <c r="M40" s="34"/>
      <c r="N40" s="34"/>
      <c r="O40" s="34"/>
      <c r="P40" s="34"/>
      <c r="Q40" s="34"/>
      <c r="R40" s="34"/>
      <c r="S40" s="34"/>
      <c r="T40" s="34"/>
      <c r="U40" s="34"/>
      <c r="W40"/>
    </row>
    <row r="41" spans="12:23" x14ac:dyDescent="0.25">
      <c r="L41" s="34"/>
      <c r="M41" s="34"/>
      <c r="N41" s="34"/>
      <c r="O41" s="34"/>
      <c r="P41" s="34"/>
      <c r="Q41" s="34"/>
      <c r="R41" s="34"/>
      <c r="S41" s="34"/>
      <c r="T41" s="34"/>
      <c r="U41" s="34"/>
      <c r="W41"/>
    </row>
    <row r="42" spans="12:23" x14ac:dyDescent="0.25">
      <c r="L42" s="34"/>
      <c r="M42" s="34"/>
      <c r="N42" s="34"/>
      <c r="O42" s="34"/>
      <c r="P42" s="34"/>
      <c r="Q42" s="34"/>
      <c r="R42" s="34"/>
      <c r="S42" s="34"/>
      <c r="T42" s="34"/>
      <c r="U42" s="34"/>
      <c r="W42"/>
    </row>
    <row r="43" spans="12:23" x14ac:dyDescent="0.25">
      <c r="L43" s="34"/>
      <c r="M43" s="34"/>
      <c r="N43" s="34"/>
      <c r="O43" s="34"/>
      <c r="P43" s="34"/>
      <c r="Q43" s="34"/>
      <c r="R43" s="34"/>
      <c r="S43" s="34"/>
      <c r="T43" s="34"/>
      <c r="U43" s="34"/>
      <c r="W43"/>
    </row>
    <row r="44" spans="12:23" x14ac:dyDescent="0.25">
      <c r="L44" s="34"/>
      <c r="M44" s="34"/>
      <c r="N44" s="34"/>
      <c r="O44" s="34"/>
      <c r="P44" s="34"/>
      <c r="Q44" s="34"/>
      <c r="R44" s="34"/>
      <c r="S44" s="34"/>
      <c r="T44" s="34"/>
      <c r="U44" s="34"/>
      <c r="W44"/>
    </row>
    <row r="45" spans="12:23" x14ac:dyDescent="0.25">
      <c r="L45" s="34"/>
      <c r="M45" s="34"/>
      <c r="N45" s="34"/>
      <c r="O45" s="34"/>
      <c r="P45" s="34"/>
      <c r="Q45" s="34"/>
      <c r="R45" s="34"/>
      <c r="S45" s="34"/>
      <c r="T45" s="34"/>
      <c r="U45" s="34"/>
      <c r="W45"/>
    </row>
    <row r="46" spans="12:23" x14ac:dyDescent="0.25">
      <c r="L46"/>
      <c r="Q46"/>
      <c r="W46"/>
    </row>
    <row r="47" spans="12:23" x14ac:dyDescent="0.25">
      <c r="L47"/>
      <c r="Q47"/>
      <c r="W47"/>
    </row>
    <row r="48" spans="12:23" x14ac:dyDescent="0.25">
      <c r="L48"/>
      <c r="Q48"/>
      <c r="W48"/>
    </row>
    <row r="49" spans="12:47" x14ac:dyDescent="0.25">
      <c r="L49"/>
      <c r="Q49"/>
      <c r="W49"/>
    </row>
    <row r="50" spans="12:47" x14ac:dyDescent="0.25">
      <c r="L50"/>
      <c r="Q50"/>
      <c r="W50"/>
    </row>
    <row r="51" spans="12:47" x14ac:dyDescent="0.25">
      <c r="L51"/>
      <c r="Q51"/>
      <c r="W51"/>
    </row>
    <row r="52" spans="12:47" x14ac:dyDescent="0.25">
      <c r="L52"/>
      <c r="Q52"/>
      <c r="W52"/>
    </row>
    <row r="53" spans="12:47" x14ac:dyDescent="0.25">
      <c r="L53"/>
      <c r="Q53"/>
      <c r="W53"/>
    </row>
    <row r="54" spans="12:47" x14ac:dyDescent="0.25">
      <c r="L54"/>
      <c r="Q54"/>
      <c r="T54" s="218"/>
      <c r="W54"/>
    </row>
    <row r="55" spans="12:47" x14ac:dyDescent="0.25">
      <c r="L55"/>
      <c r="Q55"/>
      <c r="T55" s="218"/>
      <c r="W55"/>
    </row>
    <row r="56" spans="12:47" x14ac:dyDescent="0.25">
      <c r="L56"/>
      <c r="Q56"/>
      <c r="T56" s="218"/>
      <c r="W56"/>
    </row>
    <row r="57" spans="12:47" x14ac:dyDescent="0.25">
      <c r="L57"/>
      <c r="Q57"/>
      <c r="T57" s="218"/>
      <c r="W57"/>
    </row>
    <row r="58" spans="12:47" x14ac:dyDescent="0.25">
      <c r="L58"/>
      <c r="Q58"/>
      <c r="T58" s="218"/>
      <c r="W58"/>
      <c r="AJ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</row>
    <row r="59" spans="12:47" x14ac:dyDescent="0.25">
      <c r="L59"/>
      <c r="Q59"/>
      <c r="T59" s="218"/>
      <c r="W59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</row>
    <row r="60" spans="12:47" x14ac:dyDescent="0.25">
      <c r="L60"/>
      <c r="Q60"/>
      <c r="T60" s="218"/>
      <c r="W60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</row>
    <row r="61" spans="12:47" x14ac:dyDescent="0.25">
      <c r="L61"/>
      <c r="Q61"/>
      <c r="T61" s="218"/>
      <c r="V61" s="34"/>
      <c r="W61" s="164"/>
      <c r="X61" s="34"/>
      <c r="Y61" s="167"/>
      <c r="Z61" s="166"/>
      <c r="AA61" s="166"/>
      <c r="AB61" s="166"/>
      <c r="AC61" s="166"/>
      <c r="AD61" s="171"/>
      <c r="AE61" s="167"/>
      <c r="AF61" s="167"/>
      <c r="AG61" s="167"/>
      <c r="AH61" s="171"/>
      <c r="AI61" s="171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</row>
    <row r="62" spans="12:47" x14ac:dyDescent="0.25">
      <c r="L62"/>
      <c r="Q62"/>
      <c r="T62" s="218"/>
      <c r="W62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</row>
    <row r="63" spans="12:47" x14ac:dyDescent="0.25">
      <c r="L63"/>
      <c r="Q63"/>
      <c r="T63" s="218"/>
      <c r="W63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</row>
    <row r="64" spans="12:47" x14ac:dyDescent="0.25">
      <c r="L64"/>
      <c r="Q64"/>
      <c r="T64" s="218"/>
      <c r="W6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</row>
    <row r="65" spans="12:47" x14ac:dyDescent="0.25">
      <c r="L65"/>
      <c r="Q65"/>
      <c r="T65" s="218"/>
      <c r="W65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</row>
    <row r="66" spans="12:47" x14ac:dyDescent="0.25">
      <c r="L66"/>
      <c r="Q66"/>
      <c r="T66" s="218"/>
      <c r="W66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</row>
    <row r="67" spans="12:47" x14ac:dyDescent="0.25">
      <c r="L67"/>
      <c r="Q67"/>
      <c r="T67" s="218"/>
      <c r="W67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</row>
    <row r="68" spans="12:47" x14ac:dyDescent="0.25">
      <c r="L68"/>
      <c r="Q68"/>
      <c r="T68" s="218"/>
      <c r="W68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</row>
    <row r="69" spans="12:47" x14ac:dyDescent="0.25">
      <c r="L69"/>
      <c r="Q69"/>
      <c r="W69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</row>
    <row r="70" spans="12:47" x14ac:dyDescent="0.25">
      <c r="L70"/>
      <c r="Q70"/>
      <c r="W70"/>
    </row>
    <row r="71" spans="12:47" x14ac:dyDescent="0.25">
      <c r="L71"/>
      <c r="Q71"/>
      <c r="W71"/>
    </row>
    <row r="72" spans="12:47" x14ac:dyDescent="0.25">
      <c r="L72"/>
      <c r="Q72"/>
      <c r="W72"/>
    </row>
    <row r="73" spans="12:47" x14ac:dyDescent="0.25">
      <c r="L73"/>
      <c r="Q73"/>
      <c r="W73"/>
    </row>
    <row r="74" spans="12:47" x14ac:dyDescent="0.25">
      <c r="L74"/>
      <c r="Q74"/>
      <c r="W74"/>
    </row>
    <row r="75" spans="12:47" x14ac:dyDescent="0.25">
      <c r="L75"/>
      <c r="Q75"/>
      <c r="W75"/>
    </row>
    <row r="76" spans="12:47" x14ac:dyDescent="0.25">
      <c r="L76"/>
      <c r="Q76"/>
      <c r="W76"/>
    </row>
    <row r="77" spans="12:47" x14ac:dyDescent="0.25">
      <c r="L77"/>
      <c r="Q77"/>
      <c r="W77"/>
    </row>
    <row r="78" spans="12:47" x14ac:dyDescent="0.25">
      <c r="L78"/>
      <c r="Q78"/>
      <c r="W78"/>
    </row>
    <row r="79" spans="12:47" x14ac:dyDescent="0.25">
      <c r="L79"/>
      <c r="Q79"/>
      <c r="W79"/>
    </row>
    <row r="80" spans="12:47" x14ac:dyDescent="0.25">
      <c r="L80"/>
      <c r="Q80"/>
      <c r="W80"/>
    </row>
    <row r="81" spans="1:23" x14ac:dyDescent="0.25">
      <c r="L81"/>
      <c r="Q81"/>
      <c r="W81"/>
    </row>
    <row r="82" spans="1:23" x14ac:dyDescent="0.25">
      <c r="L82"/>
      <c r="O82" s="218"/>
      <c r="Q82"/>
      <c r="W82"/>
    </row>
    <row r="83" spans="1:23" x14ac:dyDescent="0.25">
      <c r="L83"/>
      <c r="Q83"/>
      <c r="W83"/>
    </row>
    <row r="84" spans="1:23" x14ac:dyDescent="0.25">
      <c r="L84"/>
      <c r="Q84"/>
      <c r="W84"/>
    </row>
    <row r="85" spans="1:23" x14ac:dyDescent="0.25">
      <c r="L85"/>
      <c r="Q85"/>
      <c r="W85"/>
    </row>
    <row r="86" spans="1:23" x14ac:dyDescent="0.25">
      <c r="L86"/>
      <c r="Q86"/>
    </row>
    <row r="87" spans="1:23" x14ac:dyDescent="0.25">
      <c r="L87"/>
      <c r="Q87"/>
    </row>
    <row r="88" spans="1:23" x14ac:dyDescent="0.25">
      <c r="L88"/>
      <c r="Q88"/>
    </row>
    <row r="89" spans="1:23" x14ac:dyDescent="0.25">
      <c r="L89"/>
      <c r="Q89"/>
    </row>
    <row r="90" spans="1:23" x14ac:dyDescent="0.25">
      <c r="A90" s="266"/>
      <c r="B90" s="247"/>
      <c r="C90" s="247"/>
      <c r="D90" s="34"/>
      <c r="E90" s="171"/>
      <c r="F90" s="270"/>
      <c r="G90" s="168"/>
      <c r="H90" s="166"/>
      <c r="I90" s="196"/>
      <c r="J90" s="196"/>
      <c r="K90" s="171"/>
      <c r="L90"/>
      <c r="Q90"/>
    </row>
    <row r="91" spans="1:23" x14ac:dyDescent="0.25">
      <c r="A91" s="266"/>
      <c r="B91" s="247"/>
      <c r="C91" s="247"/>
      <c r="D91" s="34"/>
      <c r="E91" s="171"/>
      <c r="F91" s="270"/>
      <c r="G91" s="168"/>
      <c r="H91" s="166"/>
      <c r="I91" s="196"/>
      <c r="J91" s="196"/>
      <c r="K91" s="171"/>
      <c r="L91"/>
      <c r="Q91"/>
    </row>
    <row r="92" spans="1:23" x14ac:dyDescent="0.25">
      <c r="A92" s="266"/>
      <c r="B92" s="247"/>
      <c r="C92" s="247"/>
      <c r="D92" s="34"/>
      <c r="E92" s="171"/>
      <c r="F92" s="270"/>
      <c r="G92" s="168"/>
      <c r="H92" s="166"/>
      <c r="I92" s="196"/>
      <c r="J92" s="196"/>
      <c r="K92" s="171"/>
      <c r="L92"/>
      <c r="Q92"/>
    </row>
    <row r="93" spans="1:23" x14ac:dyDescent="0.25">
      <c r="A93" s="266"/>
      <c r="B93" s="247"/>
      <c r="C93" s="247"/>
      <c r="D93" s="248"/>
      <c r="E93" s="171"/>
      <c r="F93" s="270"/>
      <c r="G93" s="168"/>
      <c r="H93" s="166"/>
      <c r="I93" s="196"/>
      <c r="J93" s="196"/>
      <c r="K93" s="171"/>
      <c r="L93"/>
      <c r="Q93"/>
    </row>
    <row r="94" spans="1:23" x14ac:dyDescent="0.25">
      <c r="A94" s="266"/>
      <c r="B94" s="207"/>
      <c r="C94" s="247"/>
      <c r="D94" s="248"/>
      <c r="E94" s="171"/>
      <c r="F94" s="270"/>
      <c r="G94" s="168"/>
      <c r="H94" s="166"/>
      <c r="I94" s="196"/>
      <c r="J94" s="196"/>
      <c r="K94" s="171"/>
      <c r="L94"/>
      <c r="Q94"/>
    </row>
    <row r="95" spans="1:23" x14ac:dyDescent="0.25">
      <c r="A95" s="266"/>
      <c r="B95" s="207"/>
      <c r="C95" s="247"/>
      <c r="D95" s="171"/>
      <c r="E95" s="171"/>
      <c r="F95" s="270"/>
      <c r="G95" s="168"/>
      <c r="H95" s="166"/>
      <c r="I95" s="196"/>
      <c r="J95" s="196"/>
      <c r="K95" s="171"/>
      <c r="L95"/>
      <c r="Q95"/>
    </row>
    <row r="96" spans="1:23" x14ac:dyDescent="0.25">
      <c r="A96" s="266"/>
      <c r="B96" s="207"/>
      <c r="C96" s="247"/>
      <c r="D96" s="248"/>
      <c r="E96" s="171"/>
      <c r="F96" s="270"/>
      <c r="G96" s="168"/>
      <c r="H96" s="166"/>
      <c r="I96" s="196"/>
      <c r="J96" s="196"/>
      <c r="K96" s="171"/>
      <c r="L96"/>
      <c r="Q96"/>
    </row>
    <row r="97" spans="1:11" x14ac:dyDescent="0.25">
      <c r="A97" s="266"/>
      <c r="B97" s="207"/>
      <c r="C97" s="247"/>
      <c r="D97" s="249"/>
      <c r="E97" s="171"/>
      <c r="F97" s="270"/>
      <c r="G97" s="168"/>
      <c r="H97" s="166"/>
      <c r="I97" s="196"/>
      <c r="J97" s="196"/>
      <c r="K97" s="171"/>
    </row>
    <row r="98" spans="1:11" x14ac:dyDescent="0.25">
      <c r="A98" s="266"/>
      <c r="B98" s="207"/>
      <c r="C98" s="247"/>
      <c r="D98" s="249"/>
      <c r="E98" s="171"/>
      <c r="F98" s="270"/>
      <c r="G98" s="168"/>
      <c r="H98" s="166"/>
      <c r="I98" s="196"/>
      <c r="J98" s="196"/>
      <c r="K98" s="171"/>
    </row>
    <row r="99" spans="1:11" x14ac:dyDescent="0.25">
      <c r="A99" s="266"/>
      <c r="B99" s="207"/>
      <c r="C99" s="247"/>
      <c r="D99" s="249"/>
      <c r="E99" s="171"/>
      <c r="F99" s="270"/>
      <c r="G99" s="168"/>
      <c r="H99" s="166"/>
      <c r="I99" s="196"/>
      <c r="J99" s="196"/>
      <c r="K99" s="171"/>
    </row>
    <row r="100" spans="1:11" x14ac:dyDescent="0.25">
      <c r="A100" s="266"/>
      <c r="B100" s="250"/>
      <c r="C100" s="247"/>
      <c r="D100" s="249"/>
      <c r="E100" s="171"/>
      <c r="F100" s="270"/>
      <c r="G100" s="168"/>
      <c r="H100" s="166"/>
      <c r="I100" s="196"/>
      <c r="J100" s="196"/>
      <c r="K100" s="171"/>
    </row>
    <row r="101" spans="1:11" x14ac:dyDescent="0.25">
      <c r="A101" s="266"/>
      <c r="B101" s="250"/>
      <c r="C101" s="247"/>
      <c r="D101" s="249"/>
      <c r="E101" s="171"/>
      <c r="F101" s="270"/>
      <c r="G101" s="168"/>
      <c r="H101" s="166"/>
      <c r="I101" s="196"/>
      <c r="J101" s="196"/>
      <c r="K101" s="171"/>
    </row>
    <row r="102" spans="1:11" x14ac:dyDescent="0.25">
      <c r="A102" s="266"/>
      <c r="B102" s="250"/>
      <c r="C102" s="247"/>
      <c r="D102" s="249"/>
      <c r="E102" s="171"/>
      <c r="F102" s="270"/>
      <c r="G102" s="168"/>
      <c r="H102" s="166"/>
      <c r="I102" s="196"/>
      <c r="J102" s="196"/>
      <c r="K102" s="171"/>
    </row>
    <row r="103" spans="1:11" x14ac:dyDescent="0.25">
      <c r="A103" s="266"/>
      <c r="B103" s="250"/>
      <c r="C103" s="247"/>
      <c r="D103" s="249"/>
      <c r="E103" s="171"/>
      <c r="F103" s="270"/>
      <c r="G103" s="168"/>
      <c r="H103" s="166"/>
      <c r="I103" s="196"/>
      <c r="J103" s="196"/>
      <c r="K103" s="171"/>
    </row>
  </sheetData>
  <sheetProtection sheet="1" objects="1" scenarios="1"/>
  <dataConsolidate/>
  <mergeCells count="4">
    <mergeCell ref="A1:H2"/>
    <mergeCell ref="L1:U2"/>
    <mergeCell ref="V1:AI2"/>
    <mergeCell ref="AJ1:AU2"/>
  </mergeCells>
  <dataValidations count="7">
    <dataValidation type="list" allowBlank="1" showInputMessage="1" showErrorMessage="1" sqref="AA3:AA4">
      <formula1>"N/A"</formula1>
    </dataValidation>
    <dataValidation type="list" allowBlank="1" showInputMessage="1" showErrorMessage="1" sqref="AB61:AC61 H90:H102 G90:G103 AB3 R3:S3 H3 H5:I10">
      <formula1>"UNTESTED,FAIL,PASS"</formula1>
    </dataValidation>
    <dataValidation type="list" allowBlank="1" showInputMessage="1" showErrorMessage="1" sqref="Y61 Y58 Y66">
      <formula1>"PCB-DX3-002"</formula1>
    </dataValidation>
    <dataValidation type="list" operator="equal" allowBlank="1" showInputMessage="1" showErrorMessage="1" sqref="AM73 AB4:AC4 AC3">
      <formula1>"UNTESTED,FAIL"</formula1>
    </dataValidation>
    <dataValidation type="list" allowBlank="1" showInputMessage="1" showErrorMessage="1" sqref="AB58:AB59 J3:J10">
      <formula1>"PCB-A-002,PCB-A-004,PCB-A-006"</formula1>
    </dataValidation>
    <dataValidation type="date" operator="greaterThan" allowBlank="1" showInputMessage="1" showErrorMessage="1" sqref="F123:F134 F90:F103">
      <formula1>36526</formula1>
    </dataValidation>
    <dataValidation type="list" allowBlank="1" showInputMessage="1" showErrorMessage="1" sqref="H103 I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11</xdr:col>
                    <xdr:colOff>527050</xdr:colOff>
                    <xdr:row>0</xdr:row>
                    <xdr:rowOff>107950</xdr:rowOff>
                  </from>
                  <to>
                    <xdr:col>13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21</xdr:col>
                    <xdr:colOff>450850</xdr:colOff>
                    <xdr:row>0</xdr:row>
                    <xdr:rowOff>76200</xdr:rowOff>
                  </from>
                  <to>
                    <xdr:col>23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35</xdr:col>
                    <xdr:colOff>342900</xdr:colOff>
                    <xdr:row>0</xdr:row>
                    <xdr:rowOff>31750</xdr:rowOff>
                  </from>
                  <to>
                    <xdr:col>36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32</xdr:col>
                    <xdr:colOff>698500</xdr:colOff>
                    <xdr:row>0</xdr:row>
                    <xdr:rowOff>76200</xdr:rowOff>
                  </from>
                  <to>
                    <xdr:col>34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00" t="s">
        <v>1610</v>
      </c>
      <c r="B1" s="301"/>
      <c r="C1" s="301"/>
      <c r="D1" s="301"/>
      <c r="E1" s="301"/>
      <c r="F1" s="301"/>
      <c r="G1" s="301"/>
      <c r="H1" s="302"/>
      <c r="I1" s="306" t="s">
        <v>1619</v>
      </c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306"/>
      <c r="AG1" s="306"/>
      <c r="AH1" s="306"/>
      <c r="AI1" s="306"/>
      <c r="AJ1" s="307" t="s">
        <v>1632</v>
      </c>
      <c r="AK1" s="308"/>
      <c r="AL1" s="308"/>
      <c r="AM1" s="309"/>
      <c r="AN1" s="309"/>
      <c r="AO1" s="309"/>
      <c r="AP1" s="309"/>
      <c r="AQ1" s="310"/>
      <c r="AR1" s="314" t="s">
        <v>1634</v>
      </c>
      <c r="AS1" s="315"/>
      <c r="AT1" s="315"/>
      <c r="AU1" s="315"/>
      <c r="AV1" s="315"/>
      <c r="AW1" s="315"/>
      <c r="AX1" s="315"/>
      <c r="AY1" s="315"/>
      <c r="AZ1" s="315"/>
      <c r="BA1" s="315"/>
      <c r="BB1" s="316"/>
      <c r="BC1" s="290" t="s">
        <v>1612</v>
      </c>
      <c r="BD1" s="290"/>
      <c r="BE1" s="290"/>
    </row>
    <row r="2" spans="1:57" ht="25.5" customHeight="1" x14ac:dyDescent="0.25">
      <c r="A2" s="303"/>
      <c r="B2" s="304"/>
      <c r="C2" s="304"/>
      <c r="D2" s="304"/>
      <c r="E2" s="304"/>
      <c r="F2" s="304"/>
      <c r="G2" s="304"/>
      <c r="H2" s="305"/>
      <c r="I2" s="294" t="s">
        <v>1617</v>
      </c>
      <c r="J2" s="295"/>
      <c r="K2" s="295"/>
      <c r="L2" s="295"/>
      <c r="M2" s="295"/>
      <c r="N2" s="295"/>
      <c r="O2" s="296"/>
      <c r="P2" s="297" t="s">
        <v>1616</v>
      </c>
      <c r="Q2" s="298"/>
      <c r="R2" s="298"/>
      <c r="S2" s="298"/>
      <c r="T2" s="298"/>
      <c r="U2" s="298"/>
      <c r="V2" s="299"/>
      <c r="W2" s="291" t="s">
        <v>1635</v>
      </c>
      <c r="X2" s="292"/>
      <c r="Y2" s="292"/>
      <c r="Z2" s="292"/>
      <c r="AA2" s="292"/>
      <c r="AB2" s="292"/>
      <c r="AC2" s="292"/>
      <c r="AD2" s="292"/>
      <c r="AE2" s="292"/>
      <c r="AF2" s="292"/>
      <c r="AG2" s="292"/>
      <c r="AH2" s="292"/>
      <c r="AI2" s="293"/>
      <c r="AJ2" s="311"/>
      <c r="AK2" s="312"/>
      <c r="AL2" s="312"/>
      <c r="AM2" s="312"/>
      <c r="AN2" s="312"/>
      <c r="AO2" s="312"/>
      <c r="AP2" s="312"/>
      <c r="AQ2" s="313"/>
      <c r="AR2" s="317"/>
      <c r="AS2" s="318"/>
      <c r="AT2" s="318"/>
      <c r="AU2" s="318"/>
      <c r="AV2" s="318"/>
      <c r="AW2" s="318"/>
      <c r="AX2" s="318"/>
      <c r="AY2" s="318"/>
      <c r="AZ2" s="318"/>
      <c r="BA2" s="318"/>
      <c r="BB2" s="319"/>
      <c r="BC2" s="290"/>
      <c r="BD2" s="290"/>
      <c r="BE2" s="290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V65"/>
  <sheetViews>
    <sheetView tabSelected="1" zoomScaleNormal="100" workbookViewId="0">
      <selection activeCell="G33" sqref="G33"/>
    </sheetView>
  </sheetViews>
  <sheetFormatPr defaultRowHeight="12.5" x14ac:dyDescent="0.25"/>
  <cols>
    <col min="1" max="3" width="15.6328125" style="218" customWidth="1"/>
    <col min="4" max="4" width="18.81640625" style="218" customWidth="1"/>
    <col min="5" max="8" width="15.6328125" style="218" customWidth="1"/>
    <col min="9" max="9" width="18.81640625" style="218" customWidth="1"/>
    <col min="10" max="23" width="15.6328125" style="218" hidden="1" customWidth="1"/>
    <col min="24" max="26" width="15.6328125" style="218" customWidth="1"/>
    <col min="27" max="27" width="17.453125" style="218" customWidth="1"/>
    <col min="28" max="48" width="15.6328125" style="218" customWidth="1"/>
    <col min="49" max="16384" width="8.7265625" style="218"/>
  </cols>
  <sheetData>
    <row r="1" spans="1:48" ht="13" x14ac:dyDescent="0.25">
      <c r="A1" s="322" t="s">
        <v>1685</v>
      </c>
      <c r="B1" s="322"/>
      <c r="C1" s="322"/>
      <c r="D1" s="322"/>
      <c r="E1" s="322"/>
      <c r="F1" s="322"/>
      <c r="G1" s="322"/>
      <c r="H1" s="322"/>
      <c r="I1" s="322"/>
      <c r="J1" s="323"/>
      <c r="K1" s="324" t="s">
        <v>1696</v>
      </c>
      <c r="L1" s="324"/>
      <c r="M1" s="324"/>
      <c r="N1" s="324"/>
      <c r="O1" s="324"/>
      <c r="P1" s="324"/>
      <c r="Q1" s="324"/>
      <c r="R1" s="324"/>
      <c r="S1" s="324"/>
      <c r="T1" s="324"/>
      <c r="U1" s="324"/>
      <c r="V1" s="324"/>
      <c r="W1" s="324"/>
      <c r="X1" s="325" t="s">
        <v>1715</v>
      </c>
      <c r="Y1" s="325"/>
      <c r="Z1" s="325"/>
      <c r="AA1" s="325"/>
      <c r="AB1" s="325"/>
      <c r="AC1" s="325"/>
      <c r="AD1" s="325"/>
      <c r="AE1" s="325"/>
      <c r="AF1" s="325"/>
      <c r="AG1" s="325"/>
      <c r="AH1" s="325"/>
      <c r="AI1" s="325"/>
      <c r="AJ1" s="325"/>
      <c r="AK1" s="326" t="s">
        <v>1702</v>
      </c>
      <c r="AL1" s="326"/>
      <c r="AM1" s="326"/>
      <c r="AN1" s="326"/>
      <c r="AO1" s="326"/>
      <c r="AP1" s="326"/>
      <c r="AQ1" s="326"/>
      <c r="AR1" s="326"/>
      <c r="AS1" s="326"/>
      <c r="AT1" s="326"/>
      <c r="AU1" s="326"/>
      <c r="AV1" s="326"/>
    </row>
    <row r="2" spans="1:48" ht="13" x14ac:dyDescent="0.25">
      <c r="A2" s="322"/>
      <c r="B2" s="322"/>
      <c r="C2" s="322"/>
      <c r="D2" s="322"/>
      <c r="E2" s="322"/>
      <c r="F2" s="322"/>
      <c r="G2" s="322"/>
      <c r="H2" s="322"/>
      <c r="I2" s="322"/>
      <c r="J2" s="323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</row>
    <row r="3" spans="1:48" ht="33" customHeight="1" x14ac:dyDescent="0.3">
      <c r="A3" s="327" t="s">
        <v>692</v>
      </c>
      <c r="B3" s="327" t="s">
        <v>1714</v>
      </c>
      <c r="C3" s="328" t="s">
        <v>1835</v>
      </c>
      <c r="D3" s="327" t="s">
        <v>2</v>
      </c>
      <c r="E3" s="327" t="s">
        <v>1637</v>
      </c>
      <c r="F3" s="327" t="s">
        <v>1613</v>
      </c>
      <c r="G3" s="328" t="s">
        <v>1686</v>
      </c>
      <c r="H3" s="328" t="s">
        <v>1687</v>
      </c>
      <c r="I3" s="328" t="s">
        <v>1645</v>
      </c>
      <c r="J3" s="328"/>
      <c r="K3" s="329" t="s">
        <v>692</v>
      </c>
      <c r="L3" s="330" t="s">
        <v>693</v>
      </c>
      <c r="M3" s="329" t="s">
        <v>1688</v>
      </c>
      <c r="N3" s="329" t="s">
        <v>1659</v>
      </c>
      <c r="O3" s="329" t="s">
        <v>1637</v>
      </c>
      <c r="P3" s="330" t="s">
        <v>1613</v>
      </c>
      <c r="Q3" s="331" t="s">
        <v>1689</v>
      </c>
      <c r="R3" s="331" t="s">
        <v>1690</v>
      </c>
      <c r="S3" s="331" t="s">
        <v>1691</v>
      </c>
      <c r="T3" s="331" t="s">
        <v>1692</v>
      </c>
      <c r="U3" s="331" t="s">
        <v>1693</v>
      </c>
      <c r="V3" s="331" t="s">
        <v>1694</v>
      </c>
      <c r="W3" s="331" t="s">
        <v>1695</v>
      </c>
      <c r="X3" s="332" t="s">
        <v>1664</v>
      </c>
      <c r="Y3" s="224" t="s">
        <v>1703</v>
      </c>
      <c r="Z3" s="332" t="s">
        <v>1659</v>
      </c>
      <c r="AA3" s="332" t="s">
        <v>1697</v>
      </c>
      <c r="AB3" s="332" t="s">
        <v>1698</v>
      </c>
      <c r="AC3" s="224" t="s">
        <v>1689</v>
      </c>
      <c r="AD3" s="224" t="s">
        <v>1637</v>
      </c>
      <c r="AE3" s="224" t="s">
        <v>1705</v>
      </c>
      <c r="AF3" s="224" t="s">
        <v>1691</v>
      </c>
      <c r="AG3" s="224" t="s">
        <v>1692</v>
      </c>
      <c r="AH3" s="224" t="s">
        <v>1693</v>
      </c>
      <c r="AI3" s="224" t="s">
        <v>1694</v>
      </c>
      <c r="AJ3" s="224" t="s">
        <v>1695</v>
      </c>
      <c r="AK3" s="237" t="s">
        <v>1713</v>
      </c>
      <c r="AL3" s="237" t="s">
        <v>1704</v>
      </c>
      <c r="AM3" s="238" t="s">
        <v>1659</v>
      </c>
      <c r="AN3" s="238" t="s">
        <v>1699</v>
      </c>
      <c r="AO3" s="238" t="s">
        <v>1700</v>
      </c>
      <c r="AP3" s="238" t="s">
        <v>1701</v>
      </c>
      <c r="AQ3" s="238" t="s">
        <v>1622</v>
      </c>
      <c r="AR3" s="239" t="s">
        <v>5</v>
      </c>
      <c r="AS3" s="239" t="s">
        <v>1615</v>
      </c>
      <c r="AT3" s="239" t="s">
        <v>194</v>
      </c>
      <c r="AU3" s="239" t="s">
        <v>195</v>
      </c>
      <c r="AV3" s="237" t="s">
        <v>6</v>
      </c>
    </row>
    <row r="4" spans="1:48" x14ac:dyDescent="0.25">
      <c r="A4" s="185"/>
      <c r="B4" s="185"/>
      <c r="C4" s="185"/>
      <c r="D4" s="185"/>
      <c r="E4" s="185">
        <f>IF(COUNTIFS(VAP01_Assembly[VAP100B SN],VAP100B[[#This Row],[Sub-contractor Serial Number]])=1,IF(AND(VAP100B[[#This Row],[QAI0010]]="PASS",VAP100B[[#This Row],[TP0041]]="PASS"),1,0),0)</f>
        <v>0</v>
      </c>
      <c r="F4" s="185"/>
      <c r="G4" s="185"/>
      <c r="H4" s="185"/>
      <c r="I4" s="185" t="str">
        <f>IF(AND(VAP100B[[#This Row],[QAI0010]]="PASS",VAP100B[[#This Row],[TP0041]]="PASS",VAP100B[[#This Row],[Assigned]]=0),VAP100B[[#This Row],[Sub-contractor Serial Number]],"")</f>
        <v/>
      </c>
      <c r="J4" s="185"/>
      <c r="X4" s="185"/>
      <c r="Y4" s="185"/>
      <c r="Z4" s="185"/>
      <c r="AA4" s="185"/>
      <c r="AB4" s="185"/>
      <c r="AC4" s="185"/>
      <c r="AD4" s="185">
        <f>IF(AND(COUNTIF(VAP01_Destination[VAP01 ID], VAP01_Assembly[[#This Row],[ID]])=1,VAP01_Assembly[[#This Row],[TP0016]]="PASS",VAP01_Assembly[[#This Row],[QAI0011]]="PASS"),1,0)</f>
        <v>0</v>
      </c>
      <c r="AE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234">
        <v>0</v>
      </c>
      <c r="AL4" s="234"/>
      <c r="AM4" s="235"/>
      <c r="AN4" s="235"/>
      <c r="AO4" s="235"/>
      <c r="AP4" s="235"/>
      <c r="AQ4" s="235"/>
      <c r="AR4" s="255"/>
      <c r="AS4" s="236"/>
      <c r="AT4" s="236"/>
      <c r="AU4" s="236"/>
      <c r="AV4" s="236"/>
    </row>
    <row r="5" spans="1:48" x14ac:dyDescent="0.25">
      <c r="A5" s="333">
        <v>43818</v>
      </c>
      <c r="B5" s="200">
        <v>109281</v>
      </c>
      <c r="C5" s="200"/>
      <c r="D5" s="200" t="s">
        <v>1819</v>
      </c>
      <c r="E5" s="200">
        <f>IF(COUNTIFS(VAP01_Assembly[VAP100B SN],VAP100B[[#This Row],[Sub-contractor Serial Number]])=1,IF(AND(VAP100B[[#This Row],[QAI0010]]="PASS",VAP100B[[#This Row],[TP0041]]="PASS"),1,0),0)</f>
        <v>0</v>
      </c>
      <c r="F5" s="261">
        <v>44124</v>
      </c>
      <c r="G5" s="200" t="s">
        <v>1641</v>
      </c>
      <c r="H5" s="200" t="s">
        <v>1641</v>
      </c>
      <c r="I5" s="213" t="str">
        <f>IF(AND(VAP100B[[#This Row],[QAI0010]]="PASS",VAP100B[[#This Row],[TP0041]]="PASS",VAP100B[[#This Row],[Assigned]]=0),VAP100B[[#This Row],[Sub-contractor Serial Number]],"")</f>
        <v>QZ/834104/1119/AB</v>
      </c>
    </row>
    <row r="61" spans="1:9" x14ac:dyDescent="0.25">
      <c r="A61" s="334"/>
      <c r="B61" s="334"/>
      <c r="C61" s="334"/>
      <c r="D61" s="170"/>
      <c r="E61" s="170"/>
      <c r="F61" s="170"/>
      <c r="G61" s="170"/>
      <c r="H61" s="170"/>
      <c r="I61" s="196"/>
    </row>
    <row r="62" spans="1:9" x14ac:dyDescent="0.25">
      <c r="A62" s="170"/>
      <c r="B62" s="170"/>
      <c r="C62" s="170"/>
      <c r="D62" s="170"/>
      <c r="E62" s="170"/>
      <c r="F62" s="170"/>
      <c r="G62" s="170"/>
      <c r="H62" s="170"/>
      <c r="I62" s="170"/>
    </row>
    <row r="63" spans="1:9" x14ac:dyDescent="0.25">
      <c r="A63" s="170"/>
      <c r="B63" s="170"/>
      <c r="C63" s="170"/>
      <c r="D63" s="170"/>
      <c r="E63" s="170"/>
      <c r="F63" s="170"/>
      <c r="G63" s="170"/>
      <c r="H63" s="170"/>
      <c r="I63" s="170"/>
    </row>
    <row r="64" spans="1:9" x14ac:dyDescent="0.25">
      <c r="A64" s="170"/>
      <c r="B64" s="170"/>
      <c r="C64" s="170"/>
      <c r="D64" s="170"/>
      <c r="E64" s="170"/>
      <c r="F64" s="170"/>
      <c r="G64" s="170"/>
      <c r="H64" s="170"/>
      <c r="I64" s="170"/>
    </row>
    <row r="65" spans="1:9" x14ac:dyDescent="0.25">
      <c r="A65" s="170"/>
      <c r="B65" s="170"/>
      <c r="C65" s="170"/>
      <c r="D65" s="170"/>
      <c r="E65" s="170"/>
      <c r="F65" s="170"/>
      <c r="G65" s="170"/>
      <c r="H65" s="170"/>
      <c r="I65" s="170"/>
    </row>
  </sheetData>
  <sheetProtection sheet="1" objects="1" scenarios="1"/>
  <mergeCells count="4">
    <mergeCell ref="A1:I2"/>
    <mergeCell ref="K1:W2"/>
    <mergeCell ref="X1:AJ2"/>
    <mergeCell ref="AK1:AV2"/>
  </mergeCells>
  <dataValidations count="2">
    <dataValidation type="list" operator="equal" allowBlank="1" showInputMessage="1" showErrorMessage="1" sqref="AW1:XFD1048576 AD1:AV2 A9:W1048576 A1:W2 AD9:AV1048576">
      <formula1>"UNTESTED,FAIL"</formula1>
    </dataValidation>
    <dataValidation type="list" allowBlank="1" showInputMessage="1" showErrorMessage="1" sqref="AD5:AV8 A3:W4 A5:W8 AA1:AA1048576 AB1:AB1048576 AA1:AA1048576 AB1:AB1048576 AD3:AV4 AC1:AC1048576 Y1:Z1048576">
      <formula1>"UNTESTED,FAIL,PASS"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23</xdr:col>
                    <xdr:colOff>412750</xdr:colOff>
                    <xdr:row>0</xdr:row>
                    <xdr:rowOff>88900</xdr:rowOff>
                  </from>
                  <to>
                    <xdr:col>25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36</xdr:col>
                    <xdr:colOff>228600</xdr:colOff>
                    <xdr:row>0</xdr:row>
                    <xdr:rowOff>107950</xdr:rowOff>
                  </from>
                  <to>
                    <xdr:col>39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33</xdr:col>
                    <xdr:colOff>12700</xdr:colOff>
                    <xdr:row>0</xdr:row>
                    <xdr:rowOff>76200</xdr:rowOff>
                  </from>
                  <to>
                    <xdr:col>33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6"/>
  <sheetViews>
    <sheetView topLeftCell="A58" zoomScale="85" zoomScaleNormal="85" workbookViewId="0">
      <selection activeCell="D15" sqref="D15"/>
    </sheetView>
  </sheetViews>
  <sheetFormatPr defaultRowHeight="12.5" x14ac:dyDescent="0.25"/>
  <cols>
    <col min="2" max="2" width="10.453125" bestFit="1" customWidth="1"/>
    <col min="3" max="3" width="11.1796875" bestFit="1" customWidth="1"/>
    <col min="4" max="4" width="199.81640625" bestFit="1" customWidth="1"/>
    <col min="5" max="8" width="0" hidden="1" customWidth="1"/>
    <col min="9" max="9" width="8.81640625" hidden="1" customWidth="1"/>
    <col min="10" max="10" width="77.453125" bestFit="1" customWidth="1"/>
    <col min="11" max="11" width="11.54296875" style="230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1832</v>
      </c>
    </row>
    <row r="4" spans="3:8" x14ac:dyDescent="0.25">
      <c r="C4" s="144" t="s">
        <v>1683</v>
      </c>
      <c r="D4" s="144" t="s">
        <v>1833</v>
      </c>
    </row>
    <row r="5" spans="3:8" x14ac:dyDescent="0.25">
      <c r="C5" s="144" t="s">
        <v>1684</v>
      </c>
      <c r="D5" s="144" t="s">
        <v>1834</v>
      </c>
    </row>
    <row r="9" spans="3:8" x14ac:dyDescent="0.25">
      <c r="D9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23" t="s">
        <v>1765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1:12" ht="15.5" x14ac:dyDescent="0.35">
      <c r="A24" s="225"/>
      <c r="B24" s="225"/>
      <c r="C24" s="228" t="s">
        <v>1719</v>
      </c>
      <c r="D24" s="225"/>
      <c r="E24" s="225"/>
      <c r="F24" s="225"/>
      <c r="G24" s="225"/>
      <c r="H24" s="225"/>
      <c r="I24" s="225"/>
      <c r="J24" s="229" t="s">
        <v>1721</v>
      </c>
      <c r="K24" s="231" t="s">
        <v>1661</v>
      </c>
      <c r="L24" s="144" t="s">
        <v>1742</v>
      </c>
    </row>
    <row r="25" spans="1:12" ht="14.5" x14ac:dyDescent="0.35">
      <c r="B25" s="226"/>
      <c r="L25" s="232"/>
    </row>
    <row r="26" spans="1:12" ht="15.5" x14ac:dyDescent="0.35">
      <c r="B26" s="227" t="s">
        <v>1716</v>
      </c>
      <c r="L26" s="232"/>
    </row>
    <row r="27" spans="1:12" ht="14.5" x14ac:dyDescent="0.35">
      <c r="B27" s="226"/>
      <c r="C27" s="220" t="s">
        <v>1717</v>
      </c>
      <c r="D27" s="144" t="s">
        <v>1720</v>
      </c>
      <c r="J27" s="221" t="s">
        <v>1734</v>
      </c>
      <c r="L27" s="233"/>
    </row>
    <row r="28" spans="1:12" ht="14.5" x14ac:dyDescent="0.35">
      <c r="B28" s="226"/>
      <c r="C28" s="220" t="s">
        <v>1718</v>
      </c>
      <c r="D28" s="144" t="s">
        <v>1722</v>
      </c>
      <c r="G28" s="219"/>
      <c r="J28" s="222" t="s">
        <v>1723</v>
      </c>
      <c r="K28" s="230">
        <v>44061</v>
      </c>
      <c r="L28" s="233" t="s">
        <v>1745</v>
      </c>
    </row>
    <row r="29" spans="1:12" ht="14.5" x14ac:dyDescent="0.35">
      <c r="B29" s="226"/>
      <c r="C29" s="220" t="s">
        <v>1724</v>
      </c>
      <c r="D29" s="144" t="s">
        <v>1725</v>
      </c>
      <c r="J29" s="223" t="s">
        <v>1726</v>
      </c>
      <c r="L29" s="232"/>
    </row>
    <row r="30" spans="1:12" ht="14.5" x14ac:dyDescent="0.35">
      <c r="B30" s="226"/>
      <c r="C30" s="220" t="s">
        <v>1727</v>
      </c>
      <c r="D30" s="144" t="s">
        <v>1728</v>
      </c>
      <c r="J30" s="223" t="s">
        <v>1726</v>
      </c>
      <c r="L30" s="232"/>
    </row>
    <row r="31" spans="1:12" ht="14.5" x14ac:dyDescent="0.35">
      <c r="B31" s="226"/>
      <c r="C31" s="220" t="s">
        <v>1729</v>
      </c>
      <c r="D31" s="144" t="s">
        <v>1730</v>
      </c>
      <c r="J31" s="222" t="s">
        <v>1762</v>
      </c>
      <c r="K31" s="230">
        <v>44060</v>
      </c>
      <c r="L31" s="233" t="s">
        <v>1743</v>
      </c>
    </row>
    <row r="32" spans="1:12" x14ac:dyDescent="0.25">
      <c r="C32" s="6"/>
      <c r="L32" s="232"/>
    </row>
    <row r="33" spans="2:12" ht="15.5" x14ac:dyDescent="0.35">
      <c r="B33" s="227" t="s">
        <v>1731</v>
      </c>
      <c r="C33" s="6"/>
      <c r="L33" s="232"/>
    </row>
    <row r="34" spans="2:12" ht="14.5" x14ac:dyDescent="0.35">
      <c r="B34" s="226"/>
      <c r="C34" s="220" t="s">
        <v>1717</v>
      </c>
      <c r="D34" s="144" t="s">
        <v>1752</v>
      </c>
      <c r="J34" s="222" t="s">
        <v>1732</v>
      </c>
      <c r="K34" s="230">
        <v>44060</v>
      </c>
      <c r="L34" s="233" t="s">
        <v>1743</v>
      </c>
    </row>
    <row r="35" spans="2:12" ht="14.5" x14ac:dyDescent="0.35">
      <c r="B35" s="226"/>
      <c r="C35" s="220" t="s">
        <v>1718</v>
      </c>
      <c r="D35" s="144" t="s">
        <v>1753</v>
      </c>
      <c r="J35" s="222" t="s">
        <v>1733</v>
      </c>
      <c r="K35" s="230">
        <v>44060</v>
      </c>
      <c r="L35" s="233" t="s">
        <v>1743</v>
      </c>
    </row>
    <row r="36" spans="2:12" ht="14.5" x14ac:dyDescent="0.35">
      <c r="B36" s="226"/>
      <c r="C36" s="220" t="s">
        <v>1724</v>
      </c>
      <c r="D36" s="144" t="s">
        <v>1754</v>
      </c>
      <c r="J36" s="221" t="s">
        <v>1734</v>
      </c>
      <c r="L36" s="232"/>
    </row>
    <row r="37" spans="2:12" ht="14.5" x14ac:dyDescent="0.35">
      <c r="B37" s="226"/>
      <c r="C37" s="220" t="s">
        <v>1727</v>
      </c>
      <c r="D37" s="144" t="s">
        <v>1755</v>
      </c>
      <c r="J37" s="222" t="s">
        <v>1744</v>
      </c>
      <c r="K37" s="230">
        <v>44060</v>
      </c>
      <c r="L37" s="233" t="s">
        <v>1743</v>
      </c>
    </row>
    <row r="38" spans="2:12" ht="14.5" x14ac:dyDescent="0.35">
      <c r="B38" s="226"/>
      <c r="C38" s="220" t="s">
        <v>1729</v>
      </c>
      <c r="D38" s="144" t="s">
        <v>1756</v>
      </c>
      <c r="J38" s="222" t="s">
        <v>1723</v>
      </c>
      <c r="K38" s="230">
        <v>44060</v>
      </c>
      <c r="L38" s="233" t="s">
        <v>1743</v>
      </c>
    </row>
    <row r="39" spans="2:12" ht="14.5" x14ac:dyDescent="0.35">
      <c r="B39" s="226"/>
      <c r="C39" s="220" t="s">
        <v>1735</v>
      </c>
      <c r="D39" s="144" t="s">
        <v>1757</v>
      </c>
      <c r="J39" s="221" t="s">
        <v>1734</v>
      </c>
      <c r="L39" s="232"/>
    </row>
    <row r="40" spans="2:12" ht="14.5" x14ac:dyDescent="0.35">
      <c r="B40" s="226"/>
      <c r="C40" s="220" t="s">
        <v>1736</v>
      </c>
      <c r="D40" s="144" t="s">
        <v>1758</v>
      </c>
      <c r="J40" s="222" t="s">
        <v>1741</v>
      </c>
      <c r="K40" s="230">
        <v>44060</v>
      </c>
      <c r="L40" s="233" t="s">
        <v>1743</v>
      </c>
    </row>
    <row r="41" spans="2:12" ht="14.5" x14ac:dyDescent="0.35">
      <c r="B41" s="226"/>
      <c r="C41" s="220" t="s">
        <v>1737</v>
      </c>
      <c r="D41" s="144" t="s">
        <v>1759</v>
      </c>
      <c r="J41" s="222" t="s">
        <v>1740</v>
      </c>
      <c r="K41" s="230">
        <v>44060</v>
      </c>
      <c r="L41" s="233" t="s">
        <v>1743</v>
      </c>
    </row>
    <row r="42" spans="2:12" ht="14.5" x14ac:dyDescent="0.35">
      <c r="B42" s="226"/>
      <c r="C42" s="220"/>
      <c r="D42" s="144"/>
      <c r="J42" s="222"/>
      <c r="L42" s="233"/>
    </row>
    <row r="43" spans="2:12" ht="14.5" x14ac:dyDescent="0.35">
      <c r="B43" s="226"/>
      <c r="C43" s="244">
        <v>44063</v>
      </c>
      <c r="D43" s="144"/>
      <c r="L43" s="233"/>
    </row>
    <row r="44" spans="2:12" ht="14.5" x14ac:dyDescent="0.35">
      <c r="B44" s="226"/>
      <c r="C44" s="220"/>
      <c r="D44" s="144" t="s">
        <v>1766</v>
      </c>
      <c r="J44" s="222" t="s">
        <v>1775</v>
      </c>
      <c r="K44" s="230">
        <v>44064</v>
      </c>
      <c r="L44" s="233" t="s">
        <v>1780</v>
      </c>
    </row>
    <row r="45" spans="2:12" ht="14.5" x14ac:dyDescent="0.35">
      <c r="B45" s="226"/>
      <c r="C45" s="220"/>
      <c r="D45" s="144" t="s">
        <v>1767</v>
      </c>
      <c r="J45" s="222" t="s">
        <v>1776</v>
      </c>
      <c r="K45" s="230">
        <v>44064</v>
      </c>
      <c r="L45" s="233" t="s">
        <v>1780</v>
      </c>
    </row>
    <row r="46" spans="2:12" ht="14.5" x14ac:dyDescent="0.35">
      <c r="B46" s="226"/>
      <c r="C46" s="220"/>
      <c r="D46" s="144" t="s">
        <v>1768</v>
      </c>
      <c r="J46" s="222" t="s">
        <v>1775</v>
      </c>
      <c r="K46" s="230">
        <v>44064</v>
      </c>
      <c r="L46" s="233" t="s">
        <v>1780</v>
      </c>
    </row>
    <row r="47" spans="2:12" ht="14.5" x14ac:dyDescent="0.35">
      <c r="B47" s="226"/>
      <c r="C47" s="220"/>
      <c r="D47" s="144" t="s">
        <v>1769</v>
      </c>
      <c r="J47" s="222" t="s">
        <v>1777</v>
      </c>
      <c r="K47" s="230">
        <v>44064</v>
      </c>
      <c r="L47" s="233" t="s">
        <v>1780</v>
      </c>
    </row>
    <row r="48" spans="2:12" ht="14.5" x14ac:dyDescent="0.35">
      <c r="B48" s="226"/>
      <c r="C48" s="220"/>
      <c r="D48" s="144" t="s">
        <v>1770</v>
      </c>
      <c r="J48" s="222" t="s">
        <v>1778</v>
      </c>
      <c r="K48" s="230">
        <v>44064</v>
      </c>
      <c r="L48" s="233" t="s">
        <v>1780</v>
      </c>
    </row>
    <row r="49" spans="2:12" ht="14.5" x14ac:dyDescent="0.35">
      <c r="B49" s="226"/>
      <c r="C49" s="220"/>
      <c r="D49" s="144" t="s">
        <v>1771</v>
      </c>
      <c r="J49" s="222" t="s">
        <v>1779</v>
      </c>
      <c r="K49" s="230">
        <v>44064</v>
      </c>
      <c r="L49" s="233" t="s">
        <v>1780</v>
      </c>
    </row>
    <row r="50" spans="2:12" ht="14.5" x14ac:dyDescent="0.35">
      <c r="B50" s="226"/>
      <c r="C50" s="220"/>
      <c r="D50" s="144" t="s">
        <v>1772</v>
      </c>
      <c r="J50" s="222" t="s">
        <v>1775</v>
      </c>
      <c r="K50" s="230">
        <v>44064</v>
      </c>
      <c r="L50" s="233" t="s">
        <v>1780</v>
      </c>
    </row>
    <row r="51" spans="2:12" ht="14.5" x14ac:dyDescent="0.35">
      <c r="B51" s="226"/>
      <c r="C51" s="220"/>
      <c r="D51" s="144"/>
      <c r="J51" s="144"/>
      <c r="L51" s="233"/>
    </row>
    <row r="52" spans="2:12" ht="14.5" x14ac:dyDescent="0.35">
      <c r="B52" s="226"/>
      <c r="C52" s="244">
        <v>44068</v>
      </c>
      <c r="D52" s="144"/>
      <c r="L52" s="233"/>
    </row>
    <row r="53" spans="2:12" ht="14.5" x14ac:dyDescent="0.35">
      <c r="B53" s="226"/>
      <c r="C53" s="244"/>
      <c r="D53" s="144" t="s">
        <v>1781</v>
      </c>
      <c r="J53" s="222" t="s">
        <v>1800</v>
      </c>
      <c r="K53" s="230">
        <v>44068</v>
      </c>
      <c r="L53" s="233" t="s">
        <v>1782</v>
      </c>
    </row>
    <row r="54" spans="2:12" s="240" customFormat="1" ht="14.5" x14ac:dyDescent="0.35">
      <c r="B54" s="241"/>
      <c r="C54" s="242"/>
      <c r="D54" s="144"/>
      <c r="J54"/>
      <c r="K54" s="230"/>
      <c r="L54" s="243"/>
    </row>
    <row r="55" spans="2:12" ht="14.5" x14ac:dyDescent="0.35">
      <c r="B55" s="226"/>
      <c r="C55" s="220"/>
      <c r="D55" s="144" t="s">
        <v>1773</v>
      </c>
      <c r="L55" s="233"/>
    </row>
    <row r="56" spans="2:12" ht="14.5" x14ac:dyDescent="0.35">
      <c r="B56" s="226"/>
      <c r="C56" s="220"/>
      <c r="D56" s="144" t="s">
        <v>1774</v>
      </c>
      <c r="J56" s="223" t="s">
        <v>1796</v>
      </c>
      <c r="K56" s="223"/>
      <c r="L56" s="223"/>
    </row>
    <row r="57" spans="2:12" ht="14.5" x14ac:dyDescent="0.35">
      <c r="B57" s="226"/>
      <c r="C57" s="220"/>
      <c r="D57" s="144"/>
      <c r="J57" s="144"/>
      <c r="L57" s="233"/>
    </row>
    <row r="58" spans="2:12" ht="14.5" x14ac:dyDescent="0.35">
      <c r="B58" s="226"/>
      <c r="C58" s="244">
        <v>44069</v>
      </c>
      <c r="D58" s="144"/>
      <c r="J58" s="144"/>
      <c r="L58" s="233"/>
    </row>
    <row r="59" spans="2:12" ht="14.5" x14ac:dyDescent="0.35">
      <c r="B59" s="226"/>
      <c r="C59" s="220"/>
      <c r="D59" s="144" t="s">
        <v>1791</v>
      </c>
      <c r="J59" s="222" t="s">
        <v>1798</v>
      </c>
      <c r="K59" s="230">
        <v>44069</v>
      </c>
      <c r="L59" s="233" t="s">
        <v>1801</v>
      </c>
    </row>
    <row r="60" spans="2:12" ht="14.5" x14ac:dyDescent="0.35">
      <c r="B60" s="226"/>
      <c r="C60" s="220"/>
      <c r="D60" s="144" t="s">
        <v>1792</v>
      </c>
      <c r="J60" s="222" t="s">
        <v>1799</v>
      </c>
      <c r="K60" s="230">
        <v>44069</v>
      </c>
      <c r="L60" s="233" t="s">
        <v>1801</v>
      </c>
    </row>
    <row r="61" spans="2:12" ht="14.5" x14ac:dyDescent="0.35">
      <c r="B61" s="226"/>
      <c r="C61" s="220"/>
      <c r="D61" s="144" t="s">
        <v>1802</v>
      </c>
      <c r="J61" s="222" t="s">
        <v>1803</v>
      </c>
      <c r="K61" s="230">
        <v>44069</v>
      </c>
      <c r="L61" s="233" t="s">
        <v>1804</v>
      </c>
    </row>
    <row r="62" spans="2:12" ht="14.5" x14ac:dyDescent="0.35">
      <c r="B62" s="226"/>
      <c r="C62" s="220"/>
      <c r="D62" s="144" t="s">
        <v>1805</v>
      </c>
      <c r="J62" s="222" t="s">
        <v>1806</v>
      </c>
      <c r="K62" s="230">
        <v>44070</v>
      </c>
      <c r="L62" s="233" t="s">
        <v>1807</v>
      </c>
    </row>
    <row r="63" spans="2:12" ht="14.5" x14ac:dyDescent="0.25">
      <c r="C63" s="220"/>
      <c r="D63" s="245"/>
      <c r="L63" s="233"/>
    </row>
    <row r="64" spans="2:12" ht="14.5" x14ac:dyDescent="0.35">
      <c r="B64" s="226" t="s">
        <v>1760</v>
      </c>
      <c r="C64" s="244">
        <v>44063</v>
      </c>
      <c r="D64" s="144"/>
      <c r="L64" s="233"/>
    </row>
    <row r="65" spans="2:12" ht="14.5" x14ac:dyDescent="0.35">
      <c r="B65" s="226"/>
      <c r="C65" s="220"/>
      <c r="D65" s="144" t="s">
        <v>1790</v>
      </c>
      <c r="J65" s="223" t="s">
        <v>1789</v>
      </c>
      <c r="L65" s="233"/>
    </row>
    <row r="66" spans="2:12" ht="14.5" x14ac:dyDescent="0.35">
      <c r="B66" s="226"/>
      <c r="C66" s="220"/>
      <c r="D66" s="144" t="s">
        <v>1809</v>
      </c>
      <c r="J66" s="222" t="s">
        <v>1808</v>
      </c>
      <c r="K66" s="230">
        <v>44070</v>
      </c>
      <c r="L66" s="256" t="s">
        <v>1807</v>
      </c>
    </row>
    <row r="67" spans="2:12" ht="14.5" x14ac:dyDescent="0.35">
      <c r="B67" s="226"/>
      <c r="C67" s="220"/>
      <c r="D67" s="144"/>
      <c r="L67" s="233"/>
    </row>
    <row r="68" spans="2:12" ht="14.5" x14ac:dyDescent="0.35">
      <c r="B68" s="226"/>
      <c r="C68" s="244">
        <v>44068</v>
      </c>
      <c r="D68" s="144"/>
      <c r="L68" s="233"/>
    </row>
    <row r="69" spans="2:12" ht="14.5" x14ac:dyDescent="0.35">
      <c r="B69" s="226"/>
      <c r="C69" s="220"/>
      <c r="D69" s="144" t="s">
        <v>1783</v>
      </c>
      <c r="J69" s="222" t="s">
        <v>1787</v>
      </c>
      <c r="K69" s="230">
        <v>44068</v>
      </c>
      <c r="L69" s="233" t="s">
        <v>1782</v>
      </c>
    </row>
    <row r="70" spans="2:12" ht="14.5" x14ac:dyDescent="0.35">
      <c r="B70" s="226"/>
      <c r="C70" s="220"/>
      <c r="D70" s="144" t="s">
        <v>1785</v>
      </c>
      <c r="J70" s="222" t="s">
        <v>1786</v>
      </c>
      <c r="K70" s="230">
        <v>44068</v>
      </c>
      <c r="L70" s="233" t="s">
        <v>1782</v>
      </c>
    </row>
    <row r="71" spans="2:12" ht="14.5" x14ac:dyDescent="0.35">
      <c r="B71" s="226"/>
      <c r="C71" s="220"/>
      <c r="D71" s="144"/>
      <c r="L71" s="233"/>
    </row>
    <row r="72" spans="2:12" ht="14.5" x14ac:dyDescent="0.35">
      <c r="B72" s="226"/>
      <c r="C72" s="244">
        <v>44069</v>
      </c>
      <c r="D72" s="144"/>
      <c r="L72" s="233"/>
    </row>
    <row r="73" spans="2:12" ht="14.5" x14ac:dyDescent="0.35">
      <c r="B73" s="226"/>
      <c r="C73" s="220"/>
      <c r="D73" s="144" t="s">
        <v>1795</v>
      </c>
      <c r="J73" s="223" t="s">
        <v>1796</v>
      </c>
      <c r="L73" s="233" t="s">
        <v>1797</v>
      </c>
    </row>
    <row r="74" spans="2:12" ht="14.5" x14ac:dyDescent="0.35">
      <c r="B74" s="226"/>
      <c r="C74" s="220"/>
      <c r="D74" s="144"/>
      <c r="L74" s="233"/>
    </row>
    <row r="75" spans="2:12" ht="14.5" x14ac:dyDescent="0.35">
      <c r="B75" s="226"/>
      <c r="C75" s="244">
        <v>44117</v>
      </c>
    </row>
    <row r="76" spans="2:12" ht="14.5" x14ac:dyDescent="0.35">
      <c r="B76" s="226"/>
      <c r="C76" s="220"/>
      <c r="D76" s="144" t="s">
        <v>1811</v>
      </c>
      <c r="J76" s="223" t="s">
        <v>1796</v>
      </c>
      <c r="L76" s="233" t="s">
        <v>1810</v>
      </c>
    </row>
    <row r="77" spans="2:12" ht="14.5" x14ac:dyDescent="0.35">
      <c r="B77" s="226"/>
      <c r="C77" s="220"/>
      <c r="D77" s="144"/>
      <c r="L77" s="233"/>
    </row>
    <row r="78" spans="2:12" ht="11.5" customHeight="1" x14ac:dyDescent="0.35">
      <c r="B78" s="226"/>
      <c r="C78" s="139">
        <v>44124</v>
      </c>
      <c r="K78"/>
    </row>
    <row r="79" spans="2:12" ht="11.5" customHeight="1" x14ac:dyDescent="0.35">
      <c r="B79" s="226"/>
      <c r="D79" s="144" t="s">
        <v>1828</v>
      </c>
      <c r="J79" s="222" t="s">
        <v>1829</v>
      </c>
      <c r="K79" s="139">
        <v>44124</v>
      </c>
      <c r="L79" s="272" t="s">
        <v>1822</v>
      </c>
    </row>
    <row r="80" spans="2:12" ht="11.5" customHeight="1" x14ac:dyDescent="0.35">
      <c r="B80" s="226"/>
      <c r="K80"/>
    </row>
    <row r="81" spans="2:12" ht="14.5" x14ac:dyDescent="0.35">
      <c r="B81" s="226"/>
      <c r="K81"/>
    </row>
    <row r="82" spans="2:12" ht="14.5" x14ac:dyDescent="0.35">
      <c r="B82" s="226"/>
      <c r="K82"/>
    </row>
    <row r="83" spans="2:12" ht="14.5" x14ac:dyDescent="0.35">
      <c r="B83" s="226"/>
      <c r="C83" s="220" t="s">
        <v>1718</v>
      </c>
      <c r="D83" s="144" t="s">
        <v>1747</v>
      </c>
      <c r="J83" s="222" t="s">
        <v>1738</v>
      </c>
      <c r="K83" s="230">
        <v>44060</v>
      </c>
      <c r="L83" s="233" t="s">
        <v>1743</v>
      </c>
    </row>
    <row r="84" spans="2:12" ht="14.5" x14ac:dyDescent="0.35">
      <c r="B84" s="226"/>
      <c r="C84" s="220" t="s">
        <v>1724</v>
      </c>
      <c r="D84" s="144" t="s">
        <v>1748</v>
      </c>
      <c r="J84" s="222" t="s">
        <v>1739</v>
      </c>
      <c r="K84" s="230">
        <v>44060</v>
      </c>
      <c r="L84" s="233" t="s">
        <v>1743</v>
      </c>
    </row>
    <row r="85" spans="2:12" ht="14.5" x14ac:dyDescent="0.35">
      <c r="B85" s="226"/>
      <c r="C85" s="220" t="s">
        <v>1727</v>
      </c>
      <c r="D85" s="144" t="s">
        <v>1749</v>
      </c>
      <c r="J85" s="222" t="s">
        <v>1746</v>
      </c>
      <c r="K85" s="230">
        <v>44061</v>
      </c>
      <c r="L85" s="233" t="s">
        <v>1745</v>
      </c>
    </row>
    <row r="86" spans="2:12" ht="14.5" x14ac:dyDescent="0.35">
      <c r="B86" s="226"/>
      <c r="C86" s="220" t="s">
        <v>1729</v>
      </c>
      <c r="D86" s="144" t="s">
        <v>1750</v>
      </c>
      <c r="J86" s="222" t="s">
        <v>1763</v>
      </c>
      <c r="K86" s="230">
        <v>44061</v>
      </c>
      <c r="L86" s="233" t="s">
        <v>1745</v>
      </c>
    </row>
    <row r="87" spans="2:12" ht="14.5" x14ac:dyDescent="0.35">
      <c r="B87" s="226"/>
      <c r="C87" s="220" t="s">
        <v>1735</v>
      </c>
      <c r="D87" s="144" t="s">
        <v>1751</v>
      </c>
      <c r="J87" s="222" t="s">
        <v>1761</v>
      </c>
      <c r="K87" s="231">
        <v>44061</v>
      </c>
      <c r="L87" s="233" t="s">
        <v>1745</v>
      </c>
    </row>
    <row r="88" spans="2:12" ht="14.5" x14ac:dyDescent="0.35">
      <c r="B88" s="226"/>
      <c r="C88" s="6"/>
      <c r="L88" s="232"/>
    </row>
    <row r="89" spans="2:12" ht="14.5" x14ac:dyDescent="0.35">
      <c r="B89" s="226"/>
      <c r="C89" s="220"/>
      <c r="D89" s="144"/>
      <c r="L89" s="232"/>
    </row>
    <row r="90" spans="2:12" ht="14.5" x14ac:dyDescent="0.35">
      <c r="B90" s="226"/>
      <c r="C90" s="220"/>
      <c r="D90" s="144" t="s">
        <v>1764</v>
      </c>
      <c r="J90" s="223" t="s">
        <v>1765</v>
      </c>
      <c r="L90" s="232"/>
    </row>
    <row r="91" spans="2:12" ht="14.5" x14ac:dyDescent="0.35">
      <c r="B91" s="226"/>
      <c r="C91" s="244">
        <v>44068</v>
      </c>
      <c r="L91" s="232"/>
    </row>
    <row r="92" spans="2:12" ht="14.5" x14ac:dyDescent="0.35">
      <c r="B92" s="226"/>
      <c r="C92" s="6"/>
      <c r="D92" s="144" t="s">
        <v>1788</v>
      </c>
      <c r="J92" s="222" t="s">
        <v>1787</v>
      </c>
      <c r="K92" s="230">
        <v>44068</v>
      </c>
      <c r="L92" s="233" t="s">
        <v>1782</v>
      </c>
    </row>
    <row r="93" spans="2:12" ht="14.5" x14ac:dyDescent="0.35">
      <c r="B93" s="226"/>
      <c r="C93" s="6"/>
      <c r="L93" s="232"/>
    </row>
    <row r="94" spans="2:12" ht="14.5" x14ac:dyDescent="0.35">
      <c r="B94" s="226"/>
      <c r="C94" s="244">
        <v>44117</v>
      </c>
    </row>
    <row r="95" spans="2:12" ht="14.5" x14ac:dyDescent="0.35">
      <c r="B95" s="226"/>
      <c r="C95" s="220"/>
      <c r="D95" s="144" t="s">
        <v>1811</v>
      </c>
      <c r="J95" s="223" t="s">
        <v>1796</v>
      </c>
      <c r="L95" s="233" t="s">
        <v>1810</v>
      </c>
    </row>
    <row r="96" spans="2:12" ht="14.5" x14ac:dyDescent="0.35">
      <c r="B96" s="226"/>
      <c r="C96" s="6"/>
      <c r="L96" s="232"/>
    </row>
    <row r="97" spans="1:12" ht="14.5" x14ac:dyDescent="0.35">
      <c r="B97" s="226"/>
      <c r="C97" s="271">
        <v>44125</v>
      </c>
    </row>
    <row r="98" spans="1:12" ht="14.5" x14ac:dyDescent="0.35">
      <c r="B98" s="226"/>
      <c r="C98" s="6"/>
      <c r="D98" s="144" t="s">
        <v>1830</v>
      </c>
      <c r="J98" s="222" t="s">
        <v>1831</v>
      </c>
      <c r="K98" s="230">
        <v>44125</v>
      </c>
      <c r="L98" s="233" t="s">
        <v>1822</v>
      </c>
    </row>
    <row r="99" spans="1:12" x14ac:dyDescent="0.25">
      <c r="C99" s="6"/>
      <c r="L99" s="232"/>
    </row>
    <row r="100" spans="1:12" x14ac:dyDescent="0.25">
      <c r="C100" s="6"/>
      <c r="L100" s="232"/>
    </row>
    <row r="101" spans="1:12" ht="14.5" x14ac:dyDescent="0.35">
      <c r="A101" s="225"/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</row>
    <row r="102" spans="1:12" x14ac:dyDescent="0.25">
      <c r="C102" s="6"/>
      <c r="L102" s="232"/>
    </row>
    <row r="103" spans="1:12" x14ac:dyDescent="0.25">
      <c r="C103" s="6"/>
      <c r="L103" s="232"/>
    </row>
    <row r="104" spans="1:12" x14ac:dyDescent="0.25">
      <c r="C104" s="6"/>
      <c r="L104" s="232"/>
    </row>
    <row r="105" spans="1:12" x14ac:dyDescent="0.25">
      <c r="C105" s="6"/>
      <c r="L105" s="232"/>
    </row>
    <row r="106" spans="1:12" ht="14.5" x14ac:dyDescent="0.35">
      <c r="B106" s="226" t="s">
        <v>1820</v>
      </c>
      <c r="C106" s="6"/>
      <c r="L106" s="232"/>
    </row>
    <row r="107" spans="1:12" ht="14.5" x14ac:dyDescent="0.35">
      <c r="B107" s="226"/>
      <c r="C107" s="271">
        <v>44123</v>
      </c>
      <c r="J107" s="222" t="s">
        <v>1821</v>
      </c>
      <c r="K107" s="230">
        <v>44124</v>
      </c>
      <c r="L107" s="233" t="s">
        <v>1822</v>
      </c>
    </row>
    <row r="108" spans="1:12" ht="14.5" x14ac:dyDescent="0.35">
      <c r="B108" s="226"/>
      <c r="C108" s="6"/>
      <c r="D108" s="219" t="s">
        <v>1823</v>
      </c>
      <c r="J108" s="223" t="s">
        <v>1765</v>
      </c>
      <c r="L108" s="233"/>
    </row>
    <row r="109" spans="1:12" ht="14.5" x14ac:dyDescent="0.35">
      <c r="B109" s="226"/>
      <c r="C109" s="6"/>
      <c r="D109" s="219" t="s">
        <v>1824</v>
      </c>
      <c r="L109" s="232"/>
    </row>
    <row r="110" spans="1:12" ht="14.5" x14ac:dyDescent="0.35">
      <c r="B110" s="226"/>
      <c r="C110" s="6"/>
      <c r="D110" s="219" t="s">
        <v>1825</v>
      </c>
      <c r="L110" s="232"/>
    </row>
    <row r="111" spans="1:12" ht="14.5" x14ac:dyDescent="0.35">
      <c r="B111" s="226"/>
      <c r="C111" s="6"/>
      <c r="D111" s="219" t="s">
        <v>1826</v>
      </c>
      <c r="J111" s="222" t="s">
        <v>1827</v>
      </c>
      <c r="K111" s="230">
        <v>44124</v>
      </c>
      <c r="L111" s="233" t="s">
        <v>1822</v>
      </c>
    </row>
    <row r="112" spans="1:12" ht="14.5" x14ac:dyDescent="0.35">
      <c r="B112" s="226"/>
      <c r="C112" s="6"/>
      <c r="L112" s="232"/>
    </row>
    <row r="113" spans="2:12" ht="14.5" x14ac:dyDescent="0.35">
      <c r="B113" s="226"/>
      <c r="C113" s="6"/>
      <c r="L113" s="232"/>
    </row>
    <row r="114" spans="2:12" ht="14.5" x14ac:dyDescent="0.35">
      <c r="B114" s="226"/>
      <c r="C114" s="6"/>
      <c r="L114" s="232"/>
    </row>
    <row r="115" spans="2:12" x14ac:dyDescent="0.25">
      <c r="C115" s="6"/>
    </row>
    <row r="116" spans="2:12" x14ac:dyDescent="0.25">
      <c r="C116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2020-10-21T13:02:41Z</dcterms:modified>
</cp:coreProperties>
</file>