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"/>
    </mc:Choice>
  </mc:AlternateContent>
  <bookViews>
    <workbookView xWindow="-21720" yWindow="3530" windowWidth="21840" windowHeight="13290" firstSheet="1" activeTab="3"/>
  </bookViews>
  <sheets>
    <sheet name="BV Serial Number Register" sheetId="1" state="veryHidden" r:id="rId1"/>
    <sheet name="VAP100AE" sheetId="10" r:id="rId2"/>
    <sheet name="VB3" sheetId="8" state="hidden" r:id="rId3"/>
    <sheet name="VAP01" sheetId="11" r:id="rId4"/>
    <sheet name="Automation" sheetId="9" state="hidden" r:id="rId5"/>
  </sheets>
  <functionGroups builtInGroupCount="18"/>
  <definedNames>
    <definedName name="_xlnm._FilterDatabase" localSheetId="0" hidden="1">'BV Serial Number Register'!$A$4:$P$1160</definedName>
    <definedName name="ExComponentsPath">Automation!$E$3</definedName>
    <definedName name="ExPath">Automation!$E$5</definedName>
    <definedName name="ExProductsPath">Automation!$E$4</definedName>
  </definedNames>
  <calcPr calcId="152511"/>
</workbook>
</file>

<file path=xl/calcChain.xml><?xml version="1.0" encoding="utf-8"?>
<calcChain xmlns="http://schemas.openxmlformats.org/spreadsheetml/2006/main">
  <c r="F9" i="11" l="1"/>
  <c r="J9" i="11" s="1"/>
  <c r="F8" i="11" l="1"/>
  <c r="J8" i="11" s="1"/>
  <c r="G12" i="10" l="1"/>
  <c r="K12" i="10"/>
  <c r="L12" i="10"/>
  <c r="S5" i="10" l="1"/>
  <c r="W5" i="10"/>
  <c r="X5" i="10"/>
  <c r="F7" i="11"/>
  <c r="J7" i="11" s="1"/>
  <c r="G11" i="10"/>
  <c r="K11" i="10"/>
  <c r="L11" i="10"/>
  <c r="F6" i="11"/>
  <c r="J6" i="11" s="1"/>
  <c r="F5" i="11" l="1"/>
  <c r="J5" i="11" s="1"/>
  <c r="G10" i="10"/>
  <c r="L10" i="10" s="1"/>
  <c r="K10" i="10"/>
  <c r="G9" i="10"/>
  <c r="L9" i="10" s="1"/>
  <c r="K9" i="10"/>
  <c r="G8" i="10"/>
  <c r="L8" i="10" s="1"/>
  <c r="K8" i="10"/>
  <c r="G7" i="10"/>
  <c r="L7" i="10" s="1"/>
  <c r="K7" i="10"/>
  <c r="G6" i="10"/>
  <c r="L6" i="10" s="1"/>
  <c r="K6" i="10"/>
  <c r="G5" i="10"/>
  <c r="L5" i="10" s="1"/>
  <c r="K5" i="10"/>
  <c r="X4" i="10" l="1"/>
  <c r="W4" i="10"/>
  <c r="AK4" i="11" l="1"/>
  <c r="AJ4" i="11"/>
  <c r="AI4" i="11"/>
  <c r="AH4" i="11"/>
  <c r="AG4" i="11"/>
  <c r="AF4" i="11"/>
  <c r="AE4" i="11"/>
  <c r="F4" i="11" l="1"/>
  <c r="J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D9" i="8"/>
  <c r="H9" i="8" s="1"/>
  <c r="D8" i="8"/>
  <c r="H8" i="8" s="1"/>
  <c r="H7" i="8"/>
  <c r="D7" i="8"/>
  <c r="H6" i="8"/>
  <c r="D6" i="8"/>
  <c r="D5" i="8"/>
  <c r="H5" i="8" s="1"/>
  <c r="AL4" i="8"/>
  <c r="AK4" i="8"/>
  <c r="Y4" i="8"/>
  <c r="X4" i="8"/>
  <c r="V4" i="8"/>
  <c r="S4" i="8"/>
  <c r="O4" i="8"/>
  <c r="L4" i="8"/>
  <c r="H4" i="8"/>
  <c r="D4" i="8"/>
  <c r="AL4" i="10"/>
  <c r="AK4" i="10"/>
  <c r="AJ4" i="10"/>
  <c r="AI4" i="10"/>
  <c r="AH4" i="10"/>
  <c r="AG4" i="10"/>
  <c r="S4" i="10"/>
  <c r="L4" i="10"/>
  <c r="K4" i="10"/>
  <c r="G4" i="10"/>
</calcChain>
</file>

<file path=xl/comments1.xml><?xml version="1.0" encoding="utf-8"?>
<comments xmlns="http://schemas.openxmlformats.org/spreadsheetml/2006/main">
  <authors>
    <author>Stephanie Scullion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U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<sst xmlns="http://schemas.openxmlformats.org/spreadsheetml/2006/main" count="5111" uniqueCount="1839">
  <si>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</si>
  <si>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</si>
  <si>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</si>
  <si>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</si>
  <si>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</si>
  <si>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</si>
  <si>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</si>
  <si>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</si>
  <si>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</si>
  <si>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</si>
  <si>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</si>
  <si>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</si>
  <si>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</si>
  <si>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</si>
  <si>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</si>
  <si>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</si>
  <si>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</si>
  <si>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</si>
  <si>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</si>
  <si>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</si>
  <si>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</si>
  <si>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</si>
  <si>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</si>
  <si>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</si>
  <si>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</si>
  <si>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</si>
  <si>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</si>
  <si>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</si>
  <si>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</si>
  <si>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</si>
  <si>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</si>
  <si>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</si>
  <si>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</si>
  <si>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</si>
  <si>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</si>
  <si>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</si>
  <si>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</si>
  <si>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</si>
  <si>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</si>
  <si>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</si>
  <si>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</si>
  <si>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</si>
  <si>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</si>
  <si>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</si>
  <si>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</si>
  <si>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</si>
  <si>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</si>
  <si>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</si>
  <si>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</si>
  <si>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</si>
  <si>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</si>
  <si>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</si>
  <si>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</si>
  <si>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</si>
  <si>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</si>
  <si>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</si>
  <si>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</si>
  <si>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</si>
  <si>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</si>
  <si>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</si>
  <si>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</si>
  <si>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</si>
  <si>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</si>
  <si>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</si>
  <si>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</si>
  <si>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</si>
  <si>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</si>
  <si>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</si>
  <si>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</si>
  <si>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</si>
  <si>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</si>
  <si>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</si>
  <si>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</si>
  <si>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</si>
  <si>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</si>
  <si>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</si>
  <si>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</si>
  <si>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</si>
  <si>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</si>
  <si>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</si>
  <si>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</si>
  <si>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</si>
  <si>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</si>
  <si>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</si>
  <si>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</si>
  <si>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</si>
  <si>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</si>
  <si>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</si>
  <si>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</si>
  <si>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</si>
  <si>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</si>
  <si>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</si>
  <si>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</si>
  <si>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</si>
  <si>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</si>
  <si>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</si>
  <si>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</si>
  <si>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</si>
  <si>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</si>
  <si>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</si>
  <si>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</si>
  <si>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</si>
  <si>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</si>
  <si>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</si>
  <si>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</si>
  <si>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</si>
  <si>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</si>
  <si>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</si>
  <si>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</si>
  <si>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</si>
  <si>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</si>
  <si>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</si>
  <si>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</si>
  <si>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</si>
  <si>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</si>
  <si>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</si>
  <si>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</si>
  <si>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</si>
  <si>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</si>
  <si>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</si>
  <si>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</si>
  <si>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</si>
  <si>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</si>
  <si>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</si>
  <si>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</si>
  <si>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</si>
  <si>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</si>
  <si>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</si>
  <si>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</si>
  <si>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</si>
  <si>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</si>
  <si>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</si>
  <si>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</si>
  <si>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</si>
  <si>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</si>
  <si>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</si>
  <si>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</si>
  <si>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</si>
  <si>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</si>
  <si>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</si>
  <si>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</si>
  <si>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</si>
  <si>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</si>
  <si>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</si>
  <si>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</si>
  <si>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</si>
  <si>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</si>
  <si>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</si>
  <si>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</si>
  <si>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</si>
  <si>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</si>
  <si>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</si>
  <si>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</si>
  <si>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</si>
  <si>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</si>
  <si>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</si>
  <si>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</si>
  <si>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</si>
  <si>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</si>
  <si>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</si>
  <si>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</si>
  <si>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</si>
  <si>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</si>
  <si>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</si>
  <si>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</si>
  <si>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</si>
  <si>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</si>
  <si>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</si>
  <si>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</si>
  <si>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</si>
  <si>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</si>
  <si>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</si>
  <si>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</si>
  <si>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</si>
  <si>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</si>
  <si>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</si>
  <si>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</si>
  <si>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</si>
  <si>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</si>
  <si>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</si>
  <si>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</si>
  <si>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</si>
  <si>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</si>
  <si>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</si>
  <si>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</si>
  <si>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</si>
  <si>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</si>
  <si>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</si>
  <si>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</si>
  <si>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</si>
  <si>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</si>
  <si>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</si>
  <si>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</si>
  <si>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</si>
  <si>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</si>
  <si>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</si>
  <si>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</si>
  <si>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</si>
  <si>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</si>
  <si>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</si>
  <si>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</si>
  <si>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</si>
  <si>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</si>
  <si>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</si>
  <si>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</si>
  <si>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</si>
  <si>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</si>
  <si>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</si>
  <si>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</si>
  <si>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</si>
  <si>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</si>
  <si>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</si>
  <si>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</si>
  <si>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</si>
  <si>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</si>
  <si>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</si>
  <si>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</si>
  <si>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</si>
  <si>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</si>
  <si>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</si>
  <si>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</si>
  <si>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</si>
  <si>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</si>
  <si>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</si>
  <si>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</si>
  <si>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</si>
  <si>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</si>
  <si>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</si>
  <si>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</si>
  <si>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</si>
  <si>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</si>
  <si>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</si>
  <si>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</si>
  <si>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</si>
  <si>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</si>
  <si>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</si>
  <si>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</si>
  <si>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</si>
  <si>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</si>
  <si>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</si>
  <si>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</si>
  <si>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</si>
  <si>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</si>
  <si>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</si>
  <si>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</si>
  <si>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</si>
  <si>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</si>
  <si>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</si>
  <si>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</si>
  <si>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</si>
  <si>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</si>
  <si>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</si>
  <si>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</si>
  <si>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</si>
  <si>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</si>
  <si>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</si>
  <si>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</si>
  <si>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</si>
  <si>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</si>
  <si>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</si>
  <si>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</si>
  <si>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</si>
  <si>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</si>
  <si>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</si>
  <si>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</si>
  <si>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</si>
  <si>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</si>
  <si>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</si>
  <si>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</si>
  <si>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</si>
  <si>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</si>
  <si>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</si>
  <si>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</si>
  <si>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</si>
  <si>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</si>
  <si>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</si>
  <si>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</si>
  <si>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</si>
  <si>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</si>
  <si>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</si>
  <si>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</si>
  <si>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</si>
  <si>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</si>
  <si>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</si>
  <si>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</si>
  <si>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</si>
  <si>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</si>
  <si>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</si>
  <si>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</si>
  <si>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</si>
  <si>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</si>
  <si>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</si>
  <si>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</si>
  <si>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</si>
  <si>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</si>
  <si>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</si>
  <si>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</si>
  <si>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</si>
  <si>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</si>
  <si>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</si>
  <si>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</si>
  <si>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</si>
  <si>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</si>
  <si>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</si>
  <si>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</si>
  <si>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</si>
  <si>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</si>
  <si>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</si>
  <si>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</si>
  <si>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</si>
  <si>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</si>
  <si>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</si>
  <si>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</si>
  <si>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</si>
  <si>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</si>
  <si>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</si>
  <si>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</si>
  <si>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</si>
  <si>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</si>
  <si>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</si>
  <si>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</si>
  <si>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</si>
  <si>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</si>
  <si>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</si>
  <si>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</si>
  <si>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</si>
  <si>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</si>
  <si>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</si>
  <si>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</si>
  <si>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</si>
  <si>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</si>
  <si>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</si>
  <si>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</si>
  <si>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</si>
  <si>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</si>
  <si>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</si>
  <si>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</si>
  <si>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</si>
  <si>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</si>
  <si>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</si>
  <si>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</si>
  <si>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</si>
  <si>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</si>
  <si>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</si>
  <si>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</si>
  <si>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</si>
  <si>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</si>
  <si>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</si>
  <si>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</si>
  <si>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</si>
  <si>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</si>
  <si>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</si>
  <si>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</si>
  <si>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</si>
  <si>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</si>
  <si>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</si>
  <si>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</si>
  <si>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</si>
  <si>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</si>
  <si>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</si>
  <si>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</si>
  <si>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</si>
  <si>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</si>
  <si>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</si>
  <si>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</si>
  <si>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</si>
  <si>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</si>
  <si>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</si>
  <si>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</si>
  <si>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</si>
  <si>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</si>
  <si>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</si>
  <si>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</si>
  <si>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</si>
  <si>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</si>
  <si>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</si>
  <si>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</si>
  <si>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</si>
  <si>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</si>
  <si>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</si>
  <si>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</si>
  <si>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</si>
  <si>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</si>
  <si>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</si>
  <si>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</si>
  <si>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</si>
  <si>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</si>
  <si>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</si>
  <si>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</si>
  <si>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</si>
  <si>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</si>
  <si>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</si>
  <si>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</si>
  <si>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</si>
  <si>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</si>
  <si>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</si>
  <si>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</si>
  <si>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</si>
  <si>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</si>
  <si>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</si>
  <si>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</si>
  <si>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</si>
  <si>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</si>
  <si>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</si>
  <si>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</si>
  <si>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</si>
  <si>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</si>
  <si>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</si>
  <si>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</si>
  <si>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</si>
  <si>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</si>
  <si>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</si>
  <si>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</si>
  <si>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</si>
  <si>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</si>
  <si>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</si>
  <si>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</si>
  <si>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</si>
  <si>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</si>
  <si>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</si>
  <si>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</si>
  <si>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</si>
  <si>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</si>
  <si>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</si>
  <si>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</si>
  <si>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</si>
  <si>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</si>
  <si>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</si>
  <si>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</si>
  <si>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</si>
  <si>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</si>
  <si>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</si>
  <si>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</si>
  <si>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</si>
  <si>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</si>
  <si>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</si>
  <si>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</si>
  <si>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</si>
  <si>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</si>
  <si>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</si>
  <si>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</si>
  <si>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</si>
  <si>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</si>
  <si>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</si>
  <si>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</si>
  <si>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</si>
  <si>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</si>
  <si>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</si>
  <si>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</si>
  <si>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</si>
  <si>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</si>
  <si>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</si>
  <si>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</si>
  <si>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</si>
  <si>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</si>
  <si>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</si>
  <si>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</si>
  <si>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</si>
  <si>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</si>
  <si>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</si>
  <si>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</si>
  <si>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</si>
  <si>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</si>
  <si>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</si>
  <si>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</si>
  <si>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</si>
  <si>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</si>
  <si>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</si>
  <si>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</si>
  <si>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</si>
  <si>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</si>
  <si>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</si>
  <si>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</si>
  <si>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</si>
  <si>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</si>
  <si>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</si>
  <si>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</si>
  <si>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</si>
  <si>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</si>
  <si>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</si>
  <si>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</si>
  <si>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</si>
  <si>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</si>
  <si>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</si>
  <si>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</si>
  <si>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</si>
  <si>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</si>
  <si>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</si>
  <si>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</si>
  <si>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</si>
  <si>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</si>
  <si>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</si>
  <si>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</si>
  <si>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</si>
  <si>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</si>
  <si>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</si>
  <si>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</si>
  <si>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</si>
  <si>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</si>
  <si>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</si>
  <si>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</si>
  <si>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</si>
  <si>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</si>
  <si>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</si>
  <si>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</si>
  <si>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</si>
  <si>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</si>
  <si>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</si>
  <si>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</si>
  <si>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</si>
  <si>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</si>
  <si>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</si>
  <si>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</si>
  <si>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</si>
  <si>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</si>
  <si>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</si>
  <si>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</si>
  <si>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</si>
  <si>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</si>
  <si>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</si>
  <si>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</si>
  <si>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</si>
  <si>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</si>
  <si>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</si>
  <si>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</si>
  <si>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</si>
  <si>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</si>
  <si>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</si>
  <si>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</si>
  <si>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</si>
  <si>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</si>
  <si>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</si>
  <si>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</si>
  <si>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</si>
  <si>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</si>
  <si>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</si>
  <si>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</si>
  <si>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</si>
  <si>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</si>
  <si>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</si>
  <si>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</si>
  <si>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</si>
  <si>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</si>
  <si>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</si>
  <si>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</si>
  <si>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</si>
  <si>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</si>
  <si>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</si>
  <si>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</si>
  <si>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</si>
  <si>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</si>
  <si>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</si>
  <si>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</si>
  <si>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</si>
  <si>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</si>
  <si>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</si>
  <si>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</si>
  <si>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</si>
  <si>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</si>
  <si>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</si>
  <si>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</si>
  <si>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</si>
  <si>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</si>
  <si>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</si>
  <si>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</si>
  <si>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</si>
  <si>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</si>
  <si>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</si>
  <si>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</si>
  <si>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</si>
  <si>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</si>
  <si>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</si>
  <si>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</si>
  <si>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</si>
  <si>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</si>
  <si>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</si>
  <si>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</si>
  <si>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</si>
  <si>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</si>
  <si>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</si>
  <si>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</si>
  <si>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</si>
  <si>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</si>
  <si>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</si>
  <si>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</si>
  <si>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</si>
  <si>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</si>
  <si>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</si>
  <si>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</si>
  <si>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</si>
  <si>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</si>
  <si>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</si>
  <si>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</si>
  <si>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</si>
  <si>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</si>
  <si>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</si>
  <si>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</si>
  <si>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</si>
  <si>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</si>
  <si>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</si>
  <si>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</si>
  <si>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</si>
  <si>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</si>
  <si>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</si>
  <si>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</si>
  <si>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</si>
  <si>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</si>
  <si>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</si>
  <si>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</si>
  <si>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</si>
  <si>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</si>
  <si>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</si>
  <si>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</si>
  <si>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</si>
  <si>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</si>
  <si>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</si>
  <si>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</si>
  <si>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</si>
  <si>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</si>
  <si>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</si>
  <si>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</si>
  <si>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</si>
  <si>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</si>
  <si>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</si>
  <si>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</si>
  <si>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</si>
  <si>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</si>
  <si>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</si>
  <si>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</si>
  <si>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</si>
  <si>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</si>
  <si>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</si>
  <si>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</si>
  <si>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</si>
  <si>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</si>
  <si>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</si>
  <si>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</si>
  <si>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</si>
  <si>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</si>
  <si>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</si>
  <si>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</si>
  <si>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</si>
  <si>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</si>
  <si>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</si>
  <si>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</si>
  <si>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</si>
  <si>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</si>
  <si>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</si>
  <si>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</si>
  <si>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</si>
  <si>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</si>
  <si>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</si>
  <si>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</si>
  <si>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</si>
  <si>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</si>
  <si>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</si>
  <si>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</si>
  <si>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</si>
  <si>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</si>
  <si>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</si>
  <si>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</si>
  <si>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</si>
  <si>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</si>
  <si>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</si>
  <si>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</si>
  <si>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</si>
  <si>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</si>
  <si>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</si>
  <si>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</si>
  <si>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</si>
  <si>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</si>
  <si>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</si>
  <si>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</si>
  <si>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</si>
  <si>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</si>
  <si>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</si>
  <si>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</si>
  <si>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</si>
  <si>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</si>
  <si>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</si>
  <si>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</si>
  <si>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</si>
  <si>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</si>
  <si>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</si>
  <si>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</si>
  <si>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</si>
  <si>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</si>
  <si>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</si>
  <si>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</si>
  <si>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</si>
  <si>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</si>
  <si>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</si>
  <si>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</si>
  <si>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</si>
  <si>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</si>
  <si>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</si>
  <si>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</si>
  <si>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</si>
  <si>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</si>
  <si>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</si>
  <si>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</si>
  <si>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</si>
  <si>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</si>
  <si>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</si>
  <si>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</si>
  <si>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</si>
  <si>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</si>
  <si>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</si>
  <si>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</si>
  <si>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</si>
  <si>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</si>
  <si>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</si>
  <si>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</si>
  <si>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</si>
  <si>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</si>
  <si>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</si>
  <si>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</si>
  <si>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</si>
  <si>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</si>
  <si>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</si>
  <si>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</si>
  <si>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</si>
  <si>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</si>
  <si>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</si>
  <si>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</si>
  <si>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</si>
  <si>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</si>
  <si>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</si>
  <si>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</si>
  <si>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</si>
  <si>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</si>
  <si>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</si>
  <si>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</si>
  <si>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</si>
  <si>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</si>
  <si>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</si>
  <si>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</si>
  <si>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</si>
  <si>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</si>
  <si>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</si>
  <si>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</si>
  <si>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</si>
  <si>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</si>
  <si>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</si>
  <si>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</si>
  <si>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</si>
  <si>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</si>
  <si>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</si>
  <si>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</si>
  <si>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</si>
  <si>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</si>
  <si>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</si>
  <si>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</si>
  <si>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</si>
  <si>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</si>
  <si>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</si>
  <si>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</si>
  <si>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</si>
  <si>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</si>
  <si>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</si>
  <si>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</si>
  <si>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</si>
  <si>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</si>
  <si>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</si>
  <si>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</si>
  <si>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</si>
  <si>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</si>
  <si>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</si>
  <si>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</si>
  <si>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</si>
  <si>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</si>
  <si>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</si>
  <si>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</si>
  <si>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</si>
  <si>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</si>
  <si>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</si>
  <si>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</si>
  <si>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</si>
  <si>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</si>
  <si>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</si>
  <si>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</si>
  <si>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</si>
  <si>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</si>
  <si>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</si>
  <si>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</si>
  <si>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</si>
  <si>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</si>
  <si>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</si>
  <si>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</si>
  <si>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</si>
  <si>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</si>
  <si>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</si>
  <si>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</si>
  <si>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</si>
  <si>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</si>
  <si>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</si>
  <si>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</si>
  <si>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</si>
  <si>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</si>
  <si>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</si>
  <si>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</si>
  <si>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</si>
  <si>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</si>
  <si>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</si>
  <si>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</si>
  <si>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</si>
  <si>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</si>
  <si>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</si>
  <si>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</si>
  <si>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</si>
  <si>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</si>
  <si>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</si>
  <si>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</si>
  <si>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</si>
  <si>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</si>
  <si>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</si>
  <si>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</si>
  <si>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</si>
  <si>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</si>
  <si>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</si>
  <si>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</si>
  <si>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</si>
  <si>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</si>
  <si>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</si>
  <si>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</si>
  <si>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</si>
  <si>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</si>
  <si>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</si>
  <si>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</si>
  <si>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</si>
  <si>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</si>
  <si>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</si>
  <si>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</si>
  <si>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</si>
  <si>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</si>
  <si>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</si>
  <si>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</si>
  <si>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</si>
  <si>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</si>
  <si>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</si>
  <si>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</si>
  <si>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</si>
  <si>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</si>
  <si>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</si>
  <si>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</si>
  <si>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</si>
  <si>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</si>
  <si>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</si>
  <si>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</si>
  <si>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</si>
  <si>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</si>
  <si>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</si>
  <si>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</si>
  <si>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</si>
  <si>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</si>
  <si>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</si>
  <si>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</si>
  <si>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</si>
  <si>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</si>
  <si>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</si>
  <si>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</si>
  <si>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</si>
  <si>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</si>
  <si>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</si>
  <si>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</si>
  <si>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</si>
  <si>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</si>
  <si>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</si>
  <si>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</si>
  <si>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</si>
  <si>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</si>
  <si>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</si>
  <si>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</si>
  <si>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</si>
  <si>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</si>
  <si>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</si>
  <si>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</si>
  <si>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</si>
  <si>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</si>
  <si>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</si>
  <si>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</si>
  <si>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</si>
  <si>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</si>
  <si>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</si>
  <si>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</si>
  <si>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</si>
  <si>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</si>
  <si>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</si>
  <si>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</si>
  <si>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</si>
  <si>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</si>
  <si>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</si>
  <si>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</si>
  <si>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</si>
  <si>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</si>
  <si>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</si>
  <si>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</si>
  <si>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</si>
  <si>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</si>
  <si>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</si>
  <si>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</si>
  <si>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</si>
  <si>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</si>
  <si>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</si>
  <si>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</si>
  <si>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</si>
  <si>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</si>
  <si>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</si>
  <si>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</si>
  <si>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</si>
  <si>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</si>
  <si>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</si>
  <si>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</si>
  <si>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</si>
  <si>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</si>
  <si>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</si>
  <si>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</si>
  <si>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</si>
  <si>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</si>
  <si>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</si>
  <si>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</si>
  <si>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</si>
  <si>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</si>
  <si>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</si>
  <si>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</si>
  <si>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</si>
  <si>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</si>
  <si>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</si>
  <si>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</si>
  <si>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</si>
  <si>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</si>
  <si>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</si>
  <si>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</si>
  <si>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</si>
  <si>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</si>
  <si>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</si>
  <si>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</si>
  <si>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</si>
  <si>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</si>
  <si>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</si>
  <si>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</si>
  <si>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</si>
  <si>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</si>
  <si>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</si>
  <si>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</si>
  <si>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</si>
  <si>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</si>
  <si>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</si>
  <si>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</si>
  <si>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</si>
  <si>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</si>
  <si>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</si>
  <si>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</si>
  <si>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</si>
  <si>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</si>
  <si>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</si>
  <si>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</si>
  <si>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</si>
  <si>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</si>
  <si>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</si>
  <si>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</si>
  <si>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</si>
  <si>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</si>
  <si>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</si>
  <si>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</si>
  <si>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</si>
  <si>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</si>
  <si>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</si>
  <si>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</si>
  <si>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</si>
  <si>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</si>
  <si>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</si>
  <si>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</si>
  <si>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</si>
  <si>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</si>
  <si>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</si>
  <si>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</si>
  <si>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</si>
  <si>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</si>
  <si>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</si>
  <si>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</si>
  <si>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</si>
  <si>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</si>
  <si>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</si>
  <si>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</si>
  <si>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</si>
  <si>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</si>
  <si>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</si>
  <si>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</si>
  <si>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</si>
  <si>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</si>
  <si>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</si>
  <si>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</si>
  <si>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</si>
  <si>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</si>
  <si>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</si>
  <si>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</si>
  <si>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</si>
  <si>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</si>
  <si>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</si>
  <si>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</si>
  <si>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</si>
  <si>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</si>
  <si>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</si>
  <si>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</si>
  <si>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</si>
  <si>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</si>
  <si>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</si>
  <si>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</si>
  <si>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</si>
  <si>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</si>
  <si>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</si>
  <si>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</si>
  <si>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</si>
  <si>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</si>
  <si>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</si>
  <si>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</si>
  <si>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</si>
  <si>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</si>
  <si>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</si>
  <si>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</si>
  <si>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</si>
  <si>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</si>
  <si>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</si>
  <si>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</si>
  <si>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</si>
  <si>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</si>
  <si>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</si>
  <si>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</si>
  <si>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</si>
  <si>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</si>
  <si>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</si>
  <si>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</si>
  <si>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</si>
  <si>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</si>
  <si>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</si>
  <si>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</si>
  <si>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</si>
  <si>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</si>
  <si>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</si>
  <si>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</si>
  <si>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</si>
  <si>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</si>
  <si>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</si>
  <si>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</si>
  <si>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</si>
  <si>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</si>
  <si>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</si>
  <si>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</si>
  <si>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</si>
  <si>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</si>
  <si>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</si>
  <si>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</si>
  <si>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</si>
  <si>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</si>
  <si>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</si>
  <si>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</si>
  <si>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</si>
  <si>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</si>
  <si>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</si>
  <si>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</si>
  <si>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</si>
  <si>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</si>
  <si>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</si>
  <si>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</si>
  <si>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</si>
  <si>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</si>
  <si>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</si>
  <si>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</si>
  <si>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</si>
  <si>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</si>
  <si>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</si>
  <si>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</si>
  <si>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</si>
  <si>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</si>
  <si>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</si>
  <si>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</si>
  <si>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</si>
  <si>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</si>
  <si>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</si>
  <si>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</si>
  <si>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</si>
  <si>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</si>
  <si>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</si>
  <si>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</si>
  <si>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</si>
  <si>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</si>
  <si>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</si>
  <si>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</si>
  <si>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</si>
  <si>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</si>
  <si>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</si>
  <si>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</si>
  <si>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</si>
  <si>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</si>
  <si>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</si>
  <si>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</si>
  <si>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</si>
  <si>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</si>
  <si>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</si>
  <si>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</si>
  <si>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</si>
  <si>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</si>
  <si>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</si>
  <si>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</si>
  <si>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</si>
  <si>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</si>
  <si>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</si>
  <si>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</si>
  <si>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</si>
  <si>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</si>
  <si>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</si>
  <si>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</si>
  <si>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</si>
  <si>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</si>
  <si>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</si>
  <si>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</si>
  <si>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</si>
  <si>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</si>
  <si>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</si>
  <si>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</si>
  <si>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</si>
  <si>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</si>
  <si>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</si>
  <si>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</si>
  <si>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</si>
  <si>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</si>
  <si>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</si>
  <si>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</si>
  <si>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</si>
  <si>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</si>
  <si>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</si>
  <si>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</si>
  <si>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</si>
  <si>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</si>
  <si>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</si>
  <si>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</si>
  <si>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</si>
  <si>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</si>
  <si>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</si>
  <si>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</si>
  <si>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</si>
  <si>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</si>
  <si>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</si>
  <si>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</si>
  <si>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</si>
  <si>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</si>
  <si>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</si>
  <si>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</si>
  <si>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</si>
  <si>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</si>
  <si>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</si>
  <si>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</si>
  <si>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</si>
  <si>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</si>
  <si>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</si>
  <si>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</si>
  <si>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</si>
  <si>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</si>
  <si>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</si>
  <si>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</si>
  <si>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</si>
  <si>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</si>
  <si>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</si>
  <si>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</si>
  <si>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</si>
  <si>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</si>
  <si>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</si>
  <si>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</si>
  <si>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</si>
  <si>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</si>
  <si>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</si>
  <si>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</si>
  <si>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</si>
  <si>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</si>
  <si>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</si>
  <si>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</si>
  <si>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</si>
  <si>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</si>
  <si>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</si>
  <si>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</si>
  <si>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</si>
  <si>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</si>
  <si>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</si>
  <si>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</si>
  <si>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</si>
  <si>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</si>
  <si>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</si>
  <si>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</si>
  <si>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</si>
  <si>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</si>
  <si>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</si>
  <si>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</si>
  <si>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</si>
  <si>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</si>
  <si>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</si>
  <si>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</si>
  <si>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</si>
  <si>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</si>
  <si>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</si>
  <si>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</si>
  <si>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</si>
  <si>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</si>
  <si>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</si>
  <si>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</si>
  <si>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</si>
  <si>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</si>
  <si>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</si>
  <si>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</si>
  <si>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</si>
  <si>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</si>
  <si>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</si>
  <si>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</si>
  <si>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</si>
  <si>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</si>
  <si>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</si>
  <si>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</si>
  <si>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</si>
  <si>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</si>
  <si>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</si>
  <si>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</si>
  <si>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</si>
  <si>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</si>
  <si>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</si>
  <si>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</si>
  <si>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</si>
  <si>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</si>
  <si>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</si>
  <si>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</si>
  <si>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</si>
  <si>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</si>
  <si>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</si>
  <si>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</si>
  <si>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</si>
  <si>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</si>
  <si>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</si>
  <si>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</si>
  <si>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</si>
  <si>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</si>
  <si>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</si>
  <si>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</si>
  <si>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</si>
  <si>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</si>
  <si>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</si>
  <si>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</si>
  <si>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</si>
  <si>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</si>
  <si>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</si>
  <si>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</si>
  <si>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</si>
  <si>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</si>
  <si>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</si>
  <si>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</si>
  <si>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</si>
  <si>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</si>
  <si>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</si>
  <si>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</si>
  <si>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</si>
  <si>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</si>
  <si>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</si>
  <si>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</si>
  <si>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</si>
  <si>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</si>
  <si>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</si>
  <si>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</si>
  <si>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</si>
  <si>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</si>
  <si>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</si>
  <si>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</si>
  <si>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</si>
  <si>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</si>
  <si>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</si>
  <si>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</si>
  <si>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</si>
  <si>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</si>
  <si>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</si>
  <si>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</si>
  <si>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</si>
  <si>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</si>
  <si>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</si>
  <si>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</si>
  <si>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</si>
  <si>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</si>
  <si>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</si>
  <si>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</si>
  <si>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</si>
  <si>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</si>
  <si>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</si>
  <si>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</si>
  <si>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</si>
  <si>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</si>
  <si>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</si>
  <si>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</si>
  <si>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</si>
  <si>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</si>
  <si>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</si>
  <si>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</si>
  <si>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</si>
  <si>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</si>
  <si>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</si>
  <si>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</si>
  <si>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</si>
  <si>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</si>
  <si>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</si>
  <si>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</si>
  <si>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</si>
  <si>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</si>
  <si>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</si>
  <si>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</si>
  <si>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</si>
  <si>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</si>
  <si>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</si>
  <si>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</si>
  <si>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</si>
  <si>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</si>
  <si>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</si>
  <si>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</si>
  <si>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</si>
  <si>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</si>
  <si>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</si>
  <si>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</si>
  <si>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</si>
  <si>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</si>
  <si>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</si>
  <si>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</si>
  <si>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</si>
  <si>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</si>
  <si>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</si>
  <si>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</si>
  <si>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</si>
  <si>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</si>
  <si>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</si>
  <si>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</si>
  <si>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</si>
  <si>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</si>
  <si>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</si>
  <si>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</si>
  <si>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</si>
  <si>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</si>
  <si>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</si>
  <si>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</si>
  <si>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</si>
  <si>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</si>
  <si>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</si>
  <si>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</si>
  <si>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</si>
  <si>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</si>
  <si>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</si>
  <si>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</si>
  <si>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</si>
  <si>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</si>
  <si>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</si>
  <si>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</si>
  <si>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</si>
  <si>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</si>
  <si>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</si>
  <si>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</si>
  <si>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</si>
  <si>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</si>
  <si>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</si>
  <si>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</si>
  <si>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</si>
  <si>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</si>
  <si>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</si>
  <si>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</si>
  <si>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</si>
  <si>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</si>
  <si>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</si>
  <si>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</si>
  <si>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</si>
  <si>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</si>
  <si>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</si>
  <si>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</si>
  <si>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</si>
  <si>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</si>
  <si>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</si>
  <si>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</si>
  <si>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</si>
  <si>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</si>
  <si>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</si>
  <si>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</si>
  <si>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</si>
  <si>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</si>
  <si>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</si>
  <si>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</si>
  <si>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</si>
  <si>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</si>
  <si>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</si>
  <si>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</si>
  <si>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</si>
  <si>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</si>
  <si>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</si>
  <si>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</si>
  <si>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</si>
  <si>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</si>
  <si>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</si>
  <si>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</si>
  <si>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</si>
  <si>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</si>
  <si>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</si>
  <si>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</si>
  <si>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</si>
  <si>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</si>
  <si>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</si>
  <si>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</si>
  <si>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</si>
  <si>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</si>
  <si>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</si>
  <si>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</si>
  <si>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</si>
  <si>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</si>
  <si>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</si>
  <si>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</si>
  <si>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</si>
  <si>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</si>
  <si>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</si>
  <si>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</si>
  <si>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</si>
  <si>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</si>
  <si>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</si>
  <si>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</si>
  <si>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</si>
  <si>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</si>
  <si>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</si>
  <si>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</si>
  <si>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</si>
  <si>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</si>
  <si>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</si>
  <si>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</si>
  <si>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</si>
  <si>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</si>
  <si>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</si>
  <si>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</si>
  <si>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</si>
  <si>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</si>
  <si>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</si>
  <si>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</si>
  <si>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</si>
  <si>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</si>
  <si>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</si>
  <si>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</si>
  <si>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</si>
  <si>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</si>
  <si>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</si>
  <si>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</si>
  <si>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</si>
  <si>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</si>
  <si>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</si>
  <si>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</si>
  <si>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</si>
  <si>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</si>
  <si>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</si>
  <si>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</si>
  <si>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</si>
  <si>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</si>
  <si>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</si>
  <si>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</si>
  <si>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</si>
  <si>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</si>
  <si>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</si>
  <si>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</si>
  <si>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</si>
  <si>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</si>
  <si>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</si>
  <si>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</si>
  <si>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</si>
  <si>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</si>
  <si>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</si>
  <si>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</si>
  <si>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</si>
  <si>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</si>
  <si>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</si>
  <si>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</si>
  <si>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</si>
  <si>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</si>
  <si>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</si>
  <si>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</si>
  <si>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</si>
  <si>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</si>
  <si>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</si>
  <si>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</si>
  <si>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</si>
  <si>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</si>
  <si>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</si>
  <si>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</si>
  <si>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</si>
  <si>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</si>
  <si>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</si>
  <si>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</si>
  <si>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</si>
  <si>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</si>
  <si>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</si>
  <si>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</si>
  <si>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</si>
  <si>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</si>
  <si>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</si>
  <si>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</si>
  <si>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</si>
  <si>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</si>
  <si>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</si>
  <si>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</si>
  <si>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</si>
  <si>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</si>
  <si>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</si>
  <si>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</si>
  <si>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</si>
  <si>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</si>
  <si>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</si>
  <si>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</si>
  <si>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</si>
  <si>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</si>
  <si>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</si>
  <si>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</si>
  <si>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</si>
  <si>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</si>
  <si>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</si>
  <si>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</si>
  <si>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</si>
  <si>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</si>
  <si>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</si>
  <si>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</si>
  <si>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</si>
  <si>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</si>
  <si>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</si>
  <si>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</si>
  <si>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</si>
  <si>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</si>
  <si>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</si>
  <si>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</si>
  <si>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</si>
  <si>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</si>
  <si>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</si>
  <si>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</si>
  <si>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</si>
  <si>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</si>
  <si>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</si>
  <si>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</si>
  <si>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</si>
  <si>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</si>
  <si>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</si>
  <si>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</si>
  <si>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</si>
  <si>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</si>
  <si>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</si>
  <si>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</si>
  <si>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</si>
  <si>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</si>
  <si>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</si>
  <si>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</si>
  <si>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</si>
  <si>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</si>
  <si>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</si>
  <si>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</si>
  <si>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</si>
  <si>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</si>
  <si>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</si>
  <si>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</si>
  <si>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</si>
  <si>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</si>
  <si>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</si>
  <si>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</si>
  <si>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</si>
  <si>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</si>
  <si>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</si>
  <si>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</si>
  <si>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</si>
  <si>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</si>
  <si>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</si>
  <si>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</si>
  <si>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</si>
  <si>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</si>
  <si>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</si>
  <si>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</si>
  <si>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</si>
  <si>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</si>
  <si>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</si>
  <si>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</si>
  <si>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</si>
  <si>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</si>
  <si>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</si>
  <si>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</si>
  <si>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</si>
  <si>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</si>
  <si>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</si>
  <si>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</si>
  <si>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</si>
  <si>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</si>
  <si>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</si>
  <si>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</si>
  <si>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</si>
  <si>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</si>
  <si>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</si>
  <si>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</si>
  <si>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</si>
  <si>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</si>
  <si>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</si>
  <si>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</si>
  <si>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</si>
  <si>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</si>
  <si>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</si>
  <si>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</si>
  <si>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</si>
  <si>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</si>
  <si>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</si>
  <si>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</si>
  <si>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</si>
  <si>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</si>
  <si>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</si>
  <si>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</si>
  <si>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</si>
  <si>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</si>
  <si>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</si>
  <si>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</si>
  <si>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</si>
  <si>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</si>
  <si>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</si>
  <si>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</si>
  <si>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</si>
  <si>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</si>
  <si>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</si>
  <si>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</si>
  <si>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</si>
  <si>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</si>
  <si>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</si>
  <si>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</si>
  <si>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</si>
  <si>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</si>
  <si>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</si>
  <si>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</si>
  <si>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</si>
  <si>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</si>
  <si>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</si>
  <si>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</si>
  <si>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</si>
  <si>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</si>
  <si>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</si>
  <si>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</si>
  <si>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</si>
  <si>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</si>
  <si>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</si>
  <si>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</si>
  <si>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</si>
  <si>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</si>
  <si>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UNTESTED</t>
  </si>
  <si>
    <t>Availability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</si>
  <si>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</si>
  <si>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</si>
  <si>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</si>
  <si>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</si>
  <si>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</si>
  <si>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</si>
  <si>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</si>
  <si>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</si>
  <si>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</si>
  <si>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</si>
  <si>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</si>
  <si>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</si>
  <si>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</si>
  <si>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</si>
  <si>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</si>
  <si>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</si>
  <si>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</si>
  <si>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</si>
  <si>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</si>
  <si>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</si>
  <si>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</si>
  <si>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</si>
  <si>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</si>
  <si>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</si>
  <si>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</si>
  <si>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</si>
  <si>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</si>
  <si>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</si>
  <si>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ATEX/IECEx?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</si>
  <si>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</si>
  <si>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</si>
  <si>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</si>
  <si>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</si>
  <si>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</si>
  <si>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</si>
  <si>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</si>
  <si>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</si>
  <si>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</si>
  <si>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</si>
  <si>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</si>
  <si>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</si>
  <si>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</si>
  <si>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</si>
  <si>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</si>
  <si>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</si>
  <si>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</si>
  <si>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</si>
  <si>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</si>
  <si>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</si>
  <si>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</si>
  <si>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</si>
  <si>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</si>
  <si>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</si>
  <si>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</si>
  <si>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</si>
  <si>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</si>
  <si>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</si>
  <si>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</si>
  <si>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Serial Number</t>
  </si>
  <si>
    <t>PSC Vodec Purchase Order Number</t>
  </si>
  <si>
    <t>PSC V SN</t>
  </si>
  <si>
    <t xml:space="preserve"> PSC Vodec Purchase Order Number</t>
  </si>
  <si>
    <t>VAP01 Assembly (BI07)</t>
  </si>
  <si>
    <t>Able to select "FAIL" on TP0054 before selecting anything for QAI0005</t>
  </si>
  <si>
    <t>Comments</t>
  </si>
  <si>
    <t>Rectified by using On Error Next error handler method</t>
  </si>
  <si>
    <t>Incomplete</t>
  </si>
  <si>
    <t xml:space="preserve">Certificate of conformity </t>
  </si>
  <si>
    <t>Destination section - "Outwards" documentation</t>
  </si>
  <si>
    <t>Unprotect sheet&gt;Select column&gt;Format cell&gt;select tickbox "Locked"</t>
  </si>
  <si>
    <t>Reinstated</t>
  </si>
  <si>
    <t>Unable to recreate the fault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</si>
  <si>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</si>
  <si>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</si>
  <si>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</si>
  <si>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</si>
  <si>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</si>
  <si>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</si>
  <si>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</si>
  <si>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</si>
  <si>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</si>
  <si>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</si>
  <si>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</si>
  <si>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</si>
  <si>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</si>
  <si>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</si>
  <si>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</si>
  <si>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</si>
  <si>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</si>
  <si>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</si>
  <si>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</si>
  <si>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</si>
  <si>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</si>
  <si>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</si>
  <si>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</si>
  <si>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</si>
  <si>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</si>
  <si>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</si>
  <si>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</si>
  <si>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</si>
  <si>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</si>
  <si>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</si>
  <si>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</si>
  <si>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</si>
  <si>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</si>
  <si>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</si>
  <si>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</si>
  <si>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</si>
  <si>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</si>
  <si>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</si>
  <si>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</si>
  <si>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</si>
  <si>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</si>
  <si>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</si>
  <si>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</si>
  <si>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</si>
  <si>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</si>
  <si>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</si>
  <si>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</si>
  <si>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</si>
  <si>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</si>
  <si>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</si>
  <si>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</si>
  <si>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</si>
  <si>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</si>
  <si>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</si>
  <si>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</si>
  <si>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</si>
  <si>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</si>
  <si>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</si>
  <si>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</si>
  <si>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</si>
  <si>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</si>
  <si>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</si>
  <si>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</si>
  <si>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</si>
  <si>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</si>
  <si>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</si>
  <si>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</si>
  <si>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</si>
  <si>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</si>
  <si>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</si>
  <si>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</si>
  <si>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RN519215/1219/AD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</si>
  <si>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</si>
  <si>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</si>
  <si>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</si>
  <si>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</si>
  <si>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</si>
  <si>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</si>
  <si>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</si>
  <si>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</si>
  <si>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</si>
  <si>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</si>
  <si>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</si>
  <si>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</si>
  <si>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</si>
  <si>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</si>
  <si>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</si>
  <si>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>CoC</t>
  </si>
  <si>
    <t>NCR</t>
  </si>
  <si>
    <t>PCB-221001</t>
  </si>
  <si>
    <t>PCB-221002</t>
  </si>
  <si>
    <t>PCB-M-001</t>
  </si>
  <si>
    <t>Version</t>
  </si>
  <si>
    <t>Name</t>
  </si>
  <si>
    <t>Description</t>
  </si>
  <si>
    <t>Developer</t>
  </si>
  <si>
    <t>Status</t>
  </si>
  <si>
    <t>Date released</t>
  </si>
  <si>
    <t>Pass</t>
  </si>
  <si>
    <t>Fail</t>
  </si>
  <si>
    <t>No</t>
  </si>
  <si>
    <t>SS</t>
  </si>
  <si>
    <t>AJ</t>
  </si>
  <si>
    <t>WD</t>
  </si>
  <si>
    <t>Add Assembley was duplicating serial numbers after section</t>
  </si>
  <si>
    <t>Are you sure? selection confirmation window</t>
  </si>
  <si>
    <t>ElseIf IsEmpty(TestRange(i)) Then ActiveSheet.ListObjects("Membranes").ListRows(i - 1).Delete</t>
  </si>
  <si>
    <t>Bash</t>
  </si>
  <si>
    <t>PON number now can only take digits, any char or symbols cannot be entered</t>
  </si>
  <si>
    <t>NA/12345/0011/AA</t>
  </si>
  <si>
    <t>V04.5.1</t>
  </si>
  <si>
    <t>Released Version</t>
  </si>
  <si>
    <t>Leading zero in membrance panel SN</t>
  </si>
  <si>
    <t>AP0001,2,3 were inaccessible</t>
  </si>
  <si>
    <t>This was due to Change Control - "ExComponentPaths, ExPath" etc. tables were missing</t>
  </si>
  <si>
    <t>BH</t>
  </si>
  <si>
    <t>Rename the following "PSC V SN" - "Customer PO", "Sales Office" - "Customer Name", "Outwards Doc" - "Packing List Number"</t>
  </si>
  <si>
    <t>EX Area Paths (Edit with caution). Do not change the cells</t>
  </si>
  <si>
    <t>RN/123456/0011/AB</t>
  </si>
  <si>
    <t>D:\EX Area\Manufacturing Archives\Components</t>
  </si>
  <si>
    <t>D:\EX Area\Manufacturing Archives\Products</t>
  </si>
  <si>
    <t>D:\EX Area\Manufacturing Archives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</si>
</sst>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/mm/yyyy;@"/>
    <numFmt numFmtId="165" formatCode="m/d/yyyy"/>
    <numFmt numFmtId="166" formatCode="dd\ mmm\ yyyy"/>
    <numFmt numFmtId="167" formatCode="[$-809]dd\ mmmm\ yyyy;@"/>
    <numFmt numFmtId="168" formatCode="dd/mm/yy;@"/>
  </numFmts>
  <fonts count="24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A5A5A5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medium">
        <color indexed="64"/>
      </left>
      <right/>
      <top style="double">
        <color rgb="FF3F3F3F"/>
      </top>
      <bottom style="medium">
        <color indexed="64"/>
      </bottom>
      <diagonal/>
    </border>
    <border>
      <left/>
      <right/>
      <top style="double">
        <color rgb="FF3F3F3F"/>
      </top>
      <bottom style="medium">
        <color indexed="64"/>
      </bottom>
      <diagonal/>
    </border>
    <border>
      <left style="medium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</borders>
  <cellStyleXfs count="4">
    <xf numFmtId="0" fontId="0" fillId="0" borderId="0"/>
    <xf numFmtId="0" fontId="16" fillId="5" borderId="0" applyNumberFormat="0" applyBorder="0" applyAlignment="0" applyProtection="0"/>
    <xf numFmtId="0" fontId="22" fillId="23" borderId="0" applyNumberFormat="0" applyBorder="0" applyAlignment="0" applyProtection="0"/>
    <xf numFmtId="0" fontId="23" fillId="24" borderId="16" applyNumberFormat="0" applyAlignment="0" applyProtection="0"/>
  </cellStyleXfs>
  <cellXfs count="352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14" fontId="0" fillId="20" borderId="0" xfId="0" applyNumberFormat="1" applyFill="1"/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14" fontId="0" fillId="20" borderId="0" xfId="0" applyNumberFormat="1" applyFill="1" applyProtection="1">
      <protection locked="0"/>
    </xf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14" fontId="1" fillId="7" borderId="0" xfId="0" applyNumberFormat="1" applyFont="1" applyFill="1" applyAlignment="1">
      <alignment horizontal="center" vertical="center" wrapText="1"/>
    </xf>
    <xf numFmtId="14" fontId="1" fillId="6" borderId="0" xfId="0" applyNumberFormat="1" applyFont="1" applyFill="1" applyAlignment="1">
      <alignment wrapText="1"/>
    </xf>
    <xf numFmtId="14" fontId="1" fillId="7" borderId="0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0" fontId="22" fillId="23" borderId="0" xfId="2"/>
    <xf numFmtId="164" fontId="0" fillId="0" borderId="0" xfId="0" applyNumberFormat="1"/>
    <xf numFmtId="0" fontId="0" fillId="0" borderId="0" xfId="0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165" fontId="0" fillId="22" borderId="0" xfId="0" applyNumberFormat="1" applyFill="1" applyAlignment="1" applyProtection="1">
      <alignment wrapText="1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49" fontId="1" fillId="21" borderId="0" xfId="0" applyNumberFormat="1" applyFont="1" applyFill="1"/>
    <xf numFmtId="0" fontId="1" fillId="21" borderId="0" xfId="0" applyFont="1" applyFill="1"/>
    <xf numFmtId="49" fontId="0" fillId="21" borderId="0" xfId="0" applyNumberFormat="1" applyFill="1"/>
    <xf numFmtId="14" fontId="0" fillId="21" borderId="0" xfId="0" applyNumberFormat="1" applyFill="1" applyProtection="1"/>
    <xf numFmtId="167" fontId="10" fillId="14" borderId="7" xfId="0" applyNumberFormat="1" applyFont="1" applyFill="1" applyBorder="1" applyAlignment="1">
      <alignment horizontal="center" vertical="center" wrapText="1"/>
    </xf>
    <xf numFmtId="167" fontId="0" fillId="20" borderId="0" xfId="0" applyNumberFormat="1" applyFill="1"/>
    <xf numFmtId="167" fontId="0" fillId="21" borderId="0" xfId="0" applyNumberFormat="1" applyFill="1"/>
    <xf numFmtId="167" fontId="0" fillId="0" borderId="0" xfId="0" applyNumberFormat="1"/>
    <xf numFmtId="167" fontId="0" fillId="0" borderId="0" xfId="0" applyNumberFormat="1" applyFill="1"/>
    <xf numFmtId="167" fontId="10" fillId="14" borderId="6" xfId="0" applyNumberFormat="1" applyFont="1" applyFill="1" applyBorder="1" applyAlignment="1" applyProtection="1">
      <alignment horizontal="center" vertical="center" wrapText="1"/>
    </xf>
    <xf numFmtId="167" fontId="0" fillId="20" borderId="0" xfId="0" applyNumberFormat="1" applyFill="1" applyProtection="1">
      <protection locked="0"/>
    </xf>
    <xf numFmtId="167" fontId="0" fillId="21" borderId="0" xfId="0" applyNumberFormat="1" applyFill="1" applyProtection="1"/>
    <xf numFmtId="167" fontId="0" fillId="0" borderId="0" xfId="0" applyNumberFormat="1" applyFill="1" applyProtection="1">
      <protection locked="0"/>
    </xf>
    <xf numFmtId="0" fontId="9" fillId="14" borderId="0" xfId="0" applyFont="1" applyFill="1" applyAlignment="1">
      <alignment horizontal="center" vertical="center"/>
    </xf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66" fontId="0" fillId="21" borderId="0" xfId="0" applyNumberFormat="1" applyFill="1" applyProtection="1"/>
    <xf numFmtId="14" fontId="0" fillId="0" borderId="0" xfId="0" applyNumberFormat="1" applyFill="1" applyProtection="1"/>
    <xf numFmtId="166" fontId="0" fillId="20" borderId="0" xfId="0" applyNumberFormat="1" applyFill="1" applyProtection="1"/>
    <xf numFmtId="49" fontId="1" fillId="20" borderId="0" xfId="0" applyNumberFormat="1" applyFont="1" applyFill="1"/>
    <xf numFmtId="166" fontId="0" fillId="20" borderId="0" xfId="0" applyNumberFormat="1" applyFill="1"/>
    <xf numFmtId="166" fontId="0" fillId="20" borderId="0" xfId="0" applyNumberFormat="1" applyFill="1" applyProtection="1">
      <protection locked="0"/>
    </xf>
    <xf numFmtId="166" fontId="1" fillId="20" borderId="0" xfId="0" applyNumberFormat="1" applyFont="1" applyFill="1" applyProtection="1">
      <protection locked="0"/>
    </xf>
    <xf numFmtId="49" fontId="1" fillId="20" borderId="0" xfId="0" applyNumberFormat="1" applyFont="1" applyFill="1" applyProtection="1">
      <protection locked="0"/>
    </xf>
    <xf numFmtId="0" fontId="9" fillId="17" borderId="0" xfId="0" applyFont="1" applyFill="1" applyAlignment="1" applyProtection="1">
      <alignment horizontal="center" vertical="center"/>
    </xf>
    <xf numFmtId="0" fontId="23" fillId="24" borderId="17" xfId="3" applyBorder="1" applyAlignment="1">
      <alignment wrapText="1"/>
    </xf>
    <xf numFmtId="0" fontId="23" fillId="24" borderId="18" xfId="3" applyBorder="1" applyAlignment="1">
      <alignment wrapText="1"/>
    </xf>
    <xf numFmtId="0" fontId="0" fillId="0" borderId="19" xfId="0" applyBorder="1" applyAlignment="1">
      <alignment wrapText="1"/>
    </xf>
    <xf numFmtId="168" fontId="0" fillId="0" borderId="20" xfId="0" applyNumberFormat="1" applyBorder="1" applyAlignment="1">
      <alignment wrapText="1"/>
    </xf>
    <xf numFmtId="0" fontId="0" fillId="0" borderId="20" xfId="0" applyBorder="1" applyAlignment="1">
      <alignment wrapText="1"/>
    </xf>
    <xf numFmtId="0" fontId="1" fillId="0" borderId="20" xfId="0" applyFont="1" applyBorder="1" applyAlignment="1">
      <alignment wrapText="1"/>
    </xf>
    <xf numFmtId="164" fontId="0" fillId="0" borderId="20" xfId="0" applyNumberFormat="1" applyBorder="1" applyAlignment="1">
      <alignment wrapText="1"/>
    </xf>
    <xf numFmtId="168" fontId="0" fillId="0" borderId="21" xfId="0" applyNumberFormat="1" applyBorder="1" applyAlignment="1">
      <alignment wrapText="1"/>
    </xf>
    <xf numFmtId="0" fontId="0" fillId="0" borderId="21" xfId="0" applyBorder="1" applyAlignment="1">
      <alignment wrapText="1"/>
    </xf>
    <xf numFmtId="0" fontId="23" fillId="24" borderId="17" xfId="3" applyBorder="1" applyAlignment="1">
      <alignment vertical="center" wrapText="1"/>
    </xf>
    <xf numFmtId="168" fontId="23" fillId="24" borderId="17" xfId="3" applyNumberFormat="1" applyBorder="1" applyAlignment="1">
      <alignment wrapText="1"/>
    </xf>
    <xf numFmtId="0" fontId="1" fillId="0" borderId="20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2" xfId="0" applyBorder="1" applyAlignment="1">
      <alignment wrapText="1"/>
    </xf>
    <xf numFmtId="168" fontId="0" fillId="0" borderId="23" xfId="0" applyNumberFormat="1" applyBorder="1" applyAlignment="1">
      <alignment wrapText="1"/>
    </xf>
    <xf numFmtId="0" fontId="0" fillId="0" borderId="23" xfId="0" applyBorder="1" applyAlignment="1">
      <alignment wrapText="1"/>
    </xf>
    <xf numFmtId="49" fontId="1" fillId="7" borderId="0" xfId="0" applyNumberFormat="1" applyFont="1" applyFill="1" applyBorder="1" applyAlignment="1">
      <alignment horizontal="center" vertical="center" wrapText="1"/>
    </xf>
    <xf numFmtId="49" fontId="0" fillId="20" borderId="0" xfId="0" applyNumberFormat="1" applyFill="1" applyProtection="1"/>
    <xf numFmtId="49" fontId="0" fillId="0" borderId="0" xfId="0" applyNumberFormat="1"/>
    <xf numFmtId="49" fontId="0" fillId="0" borderId="0" xfId="0" applyNumberFormat="1" applyProtection="1"/>
    <xf numFmtId="0" fontId="1" fillId="21" borderId="0" xfId="0" applyFont="1" applyFill="1" applyProtection="1">
      <protection locked="0"/>
    </xf>
    <xf numFmtId="49" fontId="1" fillId="6" borderId="0" xfId="0" applyNumberFormat="1" applyFont="1" applyFill="1" applyAlignment="1">
      <alignment wrapText="1"/>
    </xf>
    <xf numFmtId="49" fontId="0" fillId="2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24" xfId="0" applyBorder="1" applyAlignment="1">
      <alignment wrapText="1"/>
    </xf>
    <xf numFmtId="0" fontId="0" fillId="0" borderId="25" xfId="0" applyBorder="1" applyAlignment="1">
      <alignment wrapText="1"/>
    </xf>
    <xf numFmtId="0" fontId="0" fillId="0" borderId="25" xfId="0" applyBorder="1" applyAlignment="1">
      <alignment vertical="center" wrapText="1"/>
    </xf>
    <xf numFmtId="168" fontId="0" fillId="0" borderId="25" xfId="0" applyNumberForma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23" xfId="0" applyFont="1" applyBorder="1" applyAlignment="1">
      <alignment vertical="center" wrapText="1"/>
    </xf>
    <xf numFmtId="0" fontId="6" fillId="0" borderId="0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</cellXfs>
  <cellStyles count="4">
    <cellStyle name="60% - Accent1" xfId="2" builtinId="32"/>
    <cellStyle name="Check Cell" xfId="3" builtinId="23"/>
    <cellStyle name="Neutral" xfId="1" builtinId="28"/>
    <cellStyle name="Normal" xfId="0" builtinId="0"/>
  </cellStyles>
  <dxfs count="213"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8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center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8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border>
        <top style="double">
          <color rgb="FF3F3F3F"/>
        </top>
      </border>
    </dxf>
    <dxf>
      <border diagonalUp="0" diagonalDown="0">
        <top style="double">
          <color rgb="FF3F3F3F"/>
        </top>
        <bottom style="double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double">
          <color rgb="FF3F3F3F"/>
        </bottom>
      </border>
    </dxf>
    <dxf>
      <alignment horizontal="general" vertical="bottom" textRotation="0" wrapText="1" indent="0" justifyLastLine="0" shrinkToFit="0" readingOrder="0"/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m/d/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protection locked="1" hidden="0"/>
    </dxf>
    <dxf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30" formatCode="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m/d/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30" formatCode="@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7" formatCode="[$-809]dd\ mmmm\ 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66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66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7" formatCode="[$-809]dd\ mmmm\ 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831850</xdr:colOff>
          <xdr:row>0</xdr:row>
          <xdr:rowOff>69850</xdr:rowOff>
        </xdr:from>
        <xdr:to>
          <xdr:col>1</xdr:col>
          <xdr:colOff>488950</xdr:colOff>
          <xdr:row>1</xdr:row>
          <xdr:rowOff>127000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527050</xdr:colOff>
          <xdr:row>0</xdr:row>
          <xdr:rowOff>107950</xdr:rowOff>
        </xdr:from>
        <xdr:to>
          <xdr:col>14</xdr:col>
          <xdr:colOff>336550</xdr:colOff>
          <xdr:row>1</xdr:row>
          <xdr:rowOff>146050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=""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450850</xdr:colOff>
          <xdr:row>0</xdr:row>
          <xdr:rowOff>76200</xdr:rowOff>
        </xdr:from>
        <xdr:to>
          <xdr:col>26</xdr:col>
          <xdr:colOff>298450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=""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342900</xdr:colOff>
          <xdr:row>0</xdr:row>
          <xdr:rowOff>31750</xdr:rowOff>
        </xdr:from>
        <xdr:to>
          <xdr:col>39</xdr:col>
          <xdr:colOff>603250</xdr:colOff>
          <xdr:row>1</xdr:row>
          <xdr:rowOff>146050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=""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698500</xdr:colOff>
          <xdr:row>0</xdr:row>
          <xdr:rowOff>76200</xdr:rowOff>
        </xdr:from>
        <xdr:to>
          <xdr:col>37</xdr:col>
          <xdr:colOff>527050</xdr:colOff>
          <xdr:row>1</xdr:row>
          <xdr:rowOff>146050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="" xmlns:a16="http://schemas.microsoft.com/office/drawing/2014/main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241300</xdr:rowOff>
        </xdr:from>
        <xdr:to>
          <xdr:col>1</xdr:col>
          <xdr:colOff>1022350</xdr:colOff>
          <xdr:row>1</xdr:row>
          <xdr:rowOff>31750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="" xmlns:a16="http://schemas.microsoft.com/office/drawing/2014/main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107950</xdr:rowOff>
        </xdr:from>
        <xdr:to>
          <xdr:col>9</xdr:col>
          <xdr:colOff>393700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=""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107950</xdr:colOff>
          <xdr:row>0</xdr:row>
          <xdr:rowOff>69850</xdr:rowOff>
        </xdr:from>
        <xdr:to>
          <xdr:col>16</xdr:col>
          <xdr:colOff>355600</xdr:colOff>
          <xdr:row>0</xdr:row>
          <xdr:rowOff>355600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=""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88900</xdr:rowOff>
        </xdr:from>
        <xdr:to>
          <xdr:col>23</xdr:col>
          <xdr:colOff>679450</xdr:colOff>
          <xdr:row>0</xdr:row>
          <xdr:rowOff>355600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=""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260350</xdr:rowOff>
        </xdr:from>
        <xdr:to>
          <xdr:col>38</xdr:col>
          <xdr:colOff>393700</xdr:colOff>
          <xdr:row>1</xdr:row>
          <xdr:rowOff>184150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=""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241300</xdr:rowOff>
        </xdr:from>
        <xdr:to>
          <xdr:col>45</xdr:col>
          <xdr:colOff>279400</xdr:colOff>
          <xdr:row>1</xdr:row>
          <xdr:rowOff>107950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=""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0</xdr:row>
          <xdr:rowOff>107950</xdr:rowOff>
        </xdr:from>
        <xdr:to>
          <xdr:col>1</xdr:col>
          <xdr:colOff>869950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412750</xdr:colOff>
          <xdr:row>0</xdr:row>
          <xdr:rowOff>88900</xdr:rowOff>
        </xdr:from>
        <xdr:to>
          <xdr:col>26</xdr:col>
          <xdr:colOff>374650</xdr:colOff>
          <xdr:row>1</xdr:row>
          <xdr:rowOff>146050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=""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228600</xdr:colOff>
          <xdr:row>0</xdr:row>
          <xdr:rowOff>107950</xdr:rowOff>
        </xdr:from>
        <xdr:to>
          <xdr:col>40</xdr:col>
          <xdr:colOff>146050</xdr:colOff>
          <xdr:row>1</xdr:row>
          <xdr:rowOff>127000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=""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12700</xdr:colOff>
          <xdr:row>0</xdr:row>
          <xdr:rowOff>76200</xdr:rowOff>
        </xdr:from>
        <xdr:to>
          <xdr:col>34</xdr:col>
          <xdr:colOff>1060450</xdr:colOff>
          <xdr:row>1</xdr:row>
          <xdr:rowOff>107950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="" xmlns:a16="http://schemas.microsoft.com/office/drawing/2014/main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L12" totalsRowShown="0" headerRowDxfId="212" dataDxfId="211" tableBorderDxfId="210">
  <autoFilter ref="A3:L12"/>
  <tableColumns count="12">
    <tableColumn id="1" name="Date Delivered" dataDxfId="209"/>
    <tableColumn id="2" name="PSC Vodec Purchase Order Number" dataDxfId="208"/>
    <tableColumn id="9" name="Type" dataDxfId="207"/>
    <tableColumn id="12" name="CoC" dataDxfId="206"/>
    <tableColumn id="11" name="NCR" dataDxfId="205"/>
    <tableColumn id="3" name="Sub-contractor Serial Number" dataDxfId="204"/>
    <tableColumn id="4" name="Assigned" dataDxfId="203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202"/>
    <tableColumn id="6" name="QAI0005" dataDxfId="201"/>
    <tableColumn id="7" name="TP0054" dataDxfId="200"/>
    <tableColumn id="10" name="Availability VAP100A" dataDxfId="199">
      <calculatedColumnFormula>IF(VAP100AE[[#This Row],[Type]]="VAP100A",IF(VAP100AE[[#This Row],[TP0054]]="PASS",IF(G4=0,IF(G4="","",F4),""),""),"")</calculatedColumnFormula>
    </tableColumn>
    <tableColumn id="8" name="Availability VAP100E" dataDxfId="198">
      <calculatedColumnFormula>IF(VAP100AE[[#This Row],[Type]]="VAP100E",IF(VAP100AE[[#This Row],[TP0054]]="PASS",IF(G4=0,IF(G4="","",F4),""),""),"")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M3:X5" totalsRowShown="0" headerRowDxfId="197" dataDxfId="196">
  <autoFilter ref="M3:X5"/>
  <tableColumns count="12">
    <tableColumn id="1" name="Date" dataDxfId="195"/>
    <tableColumn id="2" name="PSC PO No" dataDxfId="194"/>
    <tableColumn id="3" name="Type" dataDxfId="193"/>
    <tableColumn id="11" name="CoC" dataDxfId="192"/>
    <tableColumn id="12" name="NCR" dataDxfId="191"/>
    <tableColumn id="4" name="Sub-contractor SN" dataDxfId="190"/>
    <tableColumn id="5" name="Assigned" dataDxfId="189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188"/>
    <tableColumn id="7" name="QAI0006" dataDxfId="187"/>
    <tableColumn id="10" name="TP0095" dataDxfId="186"/>
    <tableColumn id="9" name="Availability DX3MC16" dataDxfId="185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84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Y3:AL4" totalsRowShown="0" headerRowDxfId="183" dataDxfId="182">
  <autoFilter ref="Y3:AL4"/>
  <tableColumns count="14">
    <tableColumn id="1" name="ID" dataDxfId="181"/>
    <tableColumn id="2" name="Date" dataDxfId="180"/>
    <tableColumn id="3" name="Type" dataDxfId="179"/>
    <tableColumn id="4" name="Membrane SN" dataDxfId="178"/>
    <tableColumn id="5" name="VAP100 SN 1" dataDxfId="177"/>
    <tableColumn id="6" name="VAP100 SN 2" dataDxfId="176"/>
    <tableColumn id="7" name="TP0094/96" dataDxfId="175"/>
    <tableColumn id="8" name="QAI0008/9" dataDxfId="174"/>
    <tableColumn id="9" name="Assigned" dataDxfId="173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172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171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170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169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68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M3:AX4" totalsRowShown="0" headerRowDxfId="167" dataDxfId="165" headerRowBorderDxfId="166">
  <autoFilter ref="AM3:AX4"/>
  <tableColumns count="12">
    <tableColumn id="1" name="PSC Vodec Serial Number" dataDxfId="164"/>
    <tableColumn id="11" name="Panel Type" dataDxfId="163"/>
    <tableColumn id="12" name="ATEX/IECEx?" dataDxfId="162"/>
    <tableColumn id="2" name="ID/SN" dataDxfId="161"/>
    <tableColumn id="3" name="W/O " dataDxfId="160"/>
    <tableColumn id="4" name="Project Name" dataDxfId="159"/>
    <tableColumn id="5" name="Sales Office" dataDxfId="158"/>
    <tableColumn id="6" name="Despatch Date" dataDxfId="157"/>
    <tableColumn id="7" name="Outwards Documentation" dataDxfId="156"/>
    <tableColumn id="8" name="NCR # (if applicable)" dataDxfId="155"/>
    <tableColumn id="9" name="RMA # (if applicable)" dataDxfId="154"/>
    <tableColumn id="10" name="Comment/Fault or Recall" dataDxfId="153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52" dataDxfId="150" headerRowBorderDxfId="151" tableBorderDxfId="149">
  <autoFilter ref="A3:H9"/>
  <tableColumns count="8">
    <tableColumn id="1" name="Date Delivered" dataDxfId="148"/>
    <tableColumn id="2" name="Bartec Vodec Purchase Order Number" dataDxfId="147"/>
    <tableColumn id="3" name="Sub-contractor Serial Number" dataDxfId="146"/>
    <tableColumn id="8" name="Assigned" dataDxfId="145">
      <calculatedColumnFormula>IF(AND(COUNTIF('VB3'!$AM$4:$AM$4,C4)=1,VB3_PCB[[#This Row],[QAI0001]]="PASS",VB3_PCB[[#This Row],[TP0066]]="PASS"),1,0)</calculatedColumnFormula>
    </tableColumn>
    <tableColumn id="4" name="Delivery Received &amp; Filed" dataDxfId="144"/>
    <tableColumn id="5" name="QAI0001" dataDxfId="143"/>
    <tableColumn id="6" name="TP0066" dataDxfId="142"/>
    <tableColumn id="7" name="Availability List" dataDxfId="141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40" dataDxfId="138" headerRowBorderDxfId="139" tableBorderDxfId="137">
  <autoFilter ref="I3:O4"/>
  <tableColumns count="7">
    <tableColumn id="1" name="Date Delivered" dataDxfId="136"/>
    <tableColumn id="2" name="Bartec Vodec Purchase Order" dataDxfId="135"/>
    <tableColumn id="3" name="Delivery Received &amp; Filed" dataDxfId="134"/>
    <tableColumn id="6" name="Assigned" dataDxfId="133">
      <calculatedColumnFormula>IF(AND(COUNTIF('VB3'!$AD$4:$AD$4,M4)=1,VB3_Castings[[#This Row],[QAI0002]]="PASS"),1,0)</calculatedColumnFormula>
    </tableColumn>
    <tableColumn id="4" name="Component Serial Number" dataDxfId="132"/>
    <tableColumn id="5" name="QAI0002" dataDxfId="131"/>
    <tableColumn id="7" name="Availability List" dataDxfId="130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29" dataDxfId="127" headerRowBorderDxfId="128" tableBorderDxfId="126">
  <autoFilter ref="P3:V4"/>
  <tableColumns count="7">
    <tableColumn id="1" name="Date Delivered" dataDxfId="125"/>
    <tableColumn id="2" name="Bartec Vodec Purchase Order" dataDxfId="124"/>
    <tableColumn id="3" name="Delivery Received &amp; Filed" dataDxfId="123"/>
    <tableColumn id="6" name="Assigned" dataDxfId="122">
      <calculatedColumnFormula>IF(AND(COUNTIF('VB3'!$AE$4:$AE$4,T4)=1,VB3_Wellglass[[#This Row],[QAI0003]]="PASS"),1,0)</calculatedColumnFormula>
    </tableColumn>
    <tableColumn id="4" name="Component Serial Number" dataDxfId="121"/>
    <tableColumn id="5" name="QAI0003" dataDxfId="120"/>
    <tableColumn id="7" name="Availability List" dataDxfId="119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18" dataDxfId="116" headerRowBorderDxfId="117" tableBorderDxfId="115">
  <autoFilter ref="W3:AI4"/>
  <tableColumns count="13">
    <tableColumn id="1" name="Preassembly ID" dataDxfId="114"/>
    <tableColumn id="12" name="Assigned" dataDxfId="113">
      <calculatedColumnFormula>IF(AND(COUNTIF('VB3'!$AN$4:$AN$4,W4)=1,VB3_Preassembly[[#This Row],[TP0065 Result]]="PASS"),1,0)</calculatedColumnFormula>
    </tableColumn>
    <tableColumn id="11" name="Availability List" dataDxfId="112">
      <calculatedColumnFormula>IF(AI4="PASS",IF(X4=0,IF(X4="","",W4),""),"")</calculatedColumnFormula>
    </tableColumn>
    <tableColumn id="2" name="Stycast Batch Part 1 Serial Number" dataDxfId="111"/>
    <tableColumn id="3" name="Stycast Batch Part 1 Date" dataDxfId="110"/>
    <tableColumn id="4" name="Stycast Batch Part 2 Serial Number" dataDxfId="109"/>
    <tableColumn id="5" name="Stycast Batch Part 2 Date" dataDxfId="108"/>
    <tableColumn id="6" name="Castings Serial Number" dataDxfId="107"/>
    <tableColumn id="7" name="Wellglass Serial Number" dataDxfId="106"/>
    <tableColumn id="8" name="Ambient Temp" dataDxfId="105"/>
    <tableColumn id="9" name="TP0065 Operative" dataDxfId="104"/>
    <tableColumn id="13" name="TP0065 Date" dataDxfId="103"/>
    <tableColumn id="10" name="TP0065 Result" dataDxfId="102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101" dataDxfId="99" headerRowBorderDxfId="100" tableBorderDxfId="98">
  <autoFilter ref="AJ3:AQ4"/>
  <tableColumns count="8">
    <tableColumn id="1" name="Internal ID" dataDxfId="97"/>
    <tableColumn id="7" name="Assigned" dataDxfId="96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95">
      <calculatedColumnFormula>IF(AQ4="PASS",IF(AK4=0,IF(AK4="","",AJ4),""),"")</calculatedColumnFormula>
    </tableColumn>
    <tableColumn id="2" name="PCB Serial Number" dataDxfId="94"/>
    <tableColumn id="3" name="Preassembly ID" dataDxfId="93"/>
    <tableColumn id="8" name="TP0067" dataDxfId="92"/>
    <tableColumn id="4" name="TP0069" dataDxfId="91"/>
    <tableColumn id="5" name="QAI0004" dataDxfId="90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89" tableBorderDxfId="88">
  <autoFilter ref="AR3:BE4"/>
  <tableColumns count="14">
    <tableColumn id="1" name="Bartec Vodec Serial Number" dataDxfId="87"/>
    <tableColumn id="2" name="VB3 Assembly ID" dataDxfId="86"/>
    <tableColumn id="3" name="Voltage" dataDxfId="85"/>
    <tableColumn id="4" name="Colour" dataDxfId="84"/>
    <tableColumn id="5" name="Torquing Up" dataDxfId="83"/>
    <tableColumn id="6" name="QAI0005" dataDxfId="82"/>
    <tableColumn id="7" name="W/O "/>
    <tableColumn id="8" name="Project Name"/>
    <tableColumn id="9" name="Sales Office"/>
    <tableColumn id="10" name="Despatch Date" dataDxfId="81"/>
    <tableColumn id="11" name="Outwards Documentation" dataDxfId="80"/>
    <tableColumn id="12" name="NCR # (if applicable)" dataDxfId="79"/>
    <tableColumn id="13" name="RMA # (if applicable)" dataDxfId="78"/>
    <tableColumn id="14" name="Comment/Fault or Recall" dataDxfId="77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J9" totalsRowShown="0" headerRowDxfId="76" dataDxfId="75">
  <autoFilter ref="A3:J9"/>
  <tableColumns count="10">
    <tableColumn id="1" name="Date Delivered" dataDxfId="74"/>
    <tableColumn id="2" name=" PSC Vodec Purchase Order Number" dataDxfId="73"/>
    <tableColumn id="12" name="CoC" dataDxfId="72"/>
    <tableColumn id="9" name="NCR" dataDxfId="71"/>
    <tableColumn id="3" name="Sub-contractor Serial Number" dataDxfId="70"/>
    <tableColumn id="4" name="Assigned" dataDxfId="69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68"/>
    <tableColumn id="6" name="QAI0010" dataDxfId="67"/>
    <tableColumn id="7" name="TP0041" dataDxfId="66"/>
    <tableColumn id="8" name="Availability" dataDxfId="65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L3:X4" totalsRowShown="0" headerRowDxfId="64" dataDxfId="63">
  <autoFilter ref="L3:X4"/>
  <tableColumns count="13">
    <tableColumn id="1" name="Date Delivered" dataDxfId="62"/>
    <tableColumn id="2" name="Bartec Vodec Purchase Order Number" dataDxfId="61"/>
    <tableColumn id="3" name="Serial Number" dataDxfId="60"/>
    <tableColumn id="4" name="Type" dataDxfId="59"/>
    <tableColumn id="5" name="Assigned" dataDxfId="58"/>
    <tableColumn id="6" name="Delivery Received &amp; Filed" dataDxfId="57"/>
    <tableColumn id="7" name="QAI0011" dataDxfId="56"/>
    <tableColumn id="8" name="Availiability 11" dataDxfId="55"/>
    <tableColumn id="9" name="Availability 12" dataDxfId="54"/>
    <tableColumn id="10" name="Availability 13" dataDxfId="53"/>
    <tableColumn id="11" name="Availability 21" dataDxfId="52"/>
    <tableColumn id="12" name="Availability 22" dataDxfId="51"/>
    <tableColumn id="13" name="Availability 23" dataDxfId="50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Y3:AK4" totalsRowShown="0" headerRowDxfId="49" dataDxfId="48">
  <autoFilter ref="Y3:AK4"/>
  <tableColumns count="13">
    <tableColumn id="1" name="ID" dataDxfId="47"/>
    <tableColumn id="3" name="Entry Date" dataDxfId="46"/>
    <tableColumn id="2" name="Type" dataDxfId="45"/>
    <tableColumn id="4" name="VAP100B SN" dataDxfId="44"/>
    <tableColumn id="5" name="TP0016" dataDxfId="43"/>
    <tableColumn id="6" name="QAI0011" dataDxfId="42"/>
    <tableColumn id="7" name="Assigned" dataDxfId="41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40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39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38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37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36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35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L3:AW4" totalsRowShown="0" headerRowDxfId="34" dataDxfId="33">
  <autoFilter ref="AL3:AW4"/>
  <tableColumns count="12">
    <tableColumn id="1" name="PSC V SN" dataDxfId="32"/>
    <tableColumn id="12" name="VAP01 ID" dataDxfId="31"/>
    <tableColumn id="2" name="Type" dataDxfId="30"/>
    <tableColumn id="3" name="Ex Type" dataDxfId="29"/>
    <tableColumn id="4" name="WO No" dataDxfId="28"/>
    <tableColumn id="5" name="Project" dataDxfId="27"/>
    <tableColumn id="6" name="Sales Office" dataDxfId="26"/>
    <tableColumn id="7" name="Despatch Date" dataDxfId="25"/>
    <tableColumn id="8" name="Outwards Documentation" dataDxfId="24"/>
    <tableColumn id="9" name="NCR # (if applicable)" dataDxfId="23"/>
    <tableColumn id="10" name="RMA # (if applicable)" dataDxfId="22"/>
    <tableColumn id="11" name="Comment/Fault or Recall" dataDxfId="21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3" name="Change_Control" displayName="Change_Control" ref="A16:J67" totalsRowShown="0" headerRowDxfId="14" dataDxfId="12" headerRowBorderDxfId="13" tableBorderDxfId="11" totalsRowBorderDxfId="10" headerRowCellStyle="Check Cell">
  <autoFilter ref="A16:J67"/>
  <sortState ref="A17:J65">
    <sortCondition ref="A16:A65"/>
  </sortState>
  <tableColumns count="10">
    <tableColumn id="1" name="No" dataDxfId="9"/>
    <tableColumn id="11" name="Date" dataDxfId="8"/>
    <tableColumn id="3" name="Version" dataDxfId="7"/>
    <tableColumn id="4" name="Name" dataDxfId="6"/>
    <tableColumn id="2" name="Description" dataDxfId="5"/>
    <tableColumn id="7" name="Developer" dataDxfId="4"/>
    <tableColumn id="8" name="Status" dataDxfId="3"/>
    <tableColumn id="9" name="Released Version" dataDxfId="2"/>
    <tableColumn id="12" name="Date released" dataDxfId="1"/>
    <tableColumn id="14" name="Comment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4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5" x14ac:dyDescent="0.25"/>
  <cols>
    <col min="1" max="1" width="12.453125" style="13" customWidth="1"/>
    <col min="2" max="2" width="10.81640625" style="6" customWidth="1"/>
    <col min="3" max="3" width="30.81640625" style="23" bestFit="1" customWidth="1"/>
    <col min="4" max="4" width="11.54296875" style="13" customWidth="1"/>
    <col min="5" max="5" width="0.1796875" style="13" hidden="1" customWidth="1"/>
    <col min="6" max="6" width="18" style="83" bestFit="1" customWidth="1"/>
    <col min="7" max="7" width="9.1796875" style="13" customWidth="1"/>
    <col min="8" max="8" width="12.1796875" style="13" bestFit="1" customWidth="1"/>
    <col min="9" max="9" width="10.1796875" style="13" bestFit="1" customWidth="1"/>
    <col min="10" max="10" width="12" style="13" bestFit="1" customWidth="1"/>
    <col min="11" max="11" width="28.1796875" customWidth="1"/>
  </cols>
  <sheetData>
    <row r="1" spans="1:11" ht="15.5" x14ac:dyDescent="0.35">
      <c r="A1" s="8"/>
      <c r="B1" s="79"/>
      <c r="C1" s="21"/>
      <c r="D1" s="8"/>
      <c r="E1" s="8"/>
      <c r="H1" s="8"/>
    </row>
    <row r="2" spans="1:11" ht="15.5" x14ac:dyDescent="0.35">
      <c r="A2" s="302" t="s">
        <v>1272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</row>
    <row r="3" spans="1:11" ht="25" x14ac:dyDescent="0.5">
      <c r="A3" s="8"/>
      <c r="B3" s="1"/>
      <c r="C3" s="28"/>
      <c r="D3" s="8"/>
      <c r="E3" s="8"/>
      <c r="H3" s="8"/>
    </row>
    <row r="4" spans="1:11" s="74" customFormat="1" ht="51" customHeight="1" x14ac:dyDescent="0.25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5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5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5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5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5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5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5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5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5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5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5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5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5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5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5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5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5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5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5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5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5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5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5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5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5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5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5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5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5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5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5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5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5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5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5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5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5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5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5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5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5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5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5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5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5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5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5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5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5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5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5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5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5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5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5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5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5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5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5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5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5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5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5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5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5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5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5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5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5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5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5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5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5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5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5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5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5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5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5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5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5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5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5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5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5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5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5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5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5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5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5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5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5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5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5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5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5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5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5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5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5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5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5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5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5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5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5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5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5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5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5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5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5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5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5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5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5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5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5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5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5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5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5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5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5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5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5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5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5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5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5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5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5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5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5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5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5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5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5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5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5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5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5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5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5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5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5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5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5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5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5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5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5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5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5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5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5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5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5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5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5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5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5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5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5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5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5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5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5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5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5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5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5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5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5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5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5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5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5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5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5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5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5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5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5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5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5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5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5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5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5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5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5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5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5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5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5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5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5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5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5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5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5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5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5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5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5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5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5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5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5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5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5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5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5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5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5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5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5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5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5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5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5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5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5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5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5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5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5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5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5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5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5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5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5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5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5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5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5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5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5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5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5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5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5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5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5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5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5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5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5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5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5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5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5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5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5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5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5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5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5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5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5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5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5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5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5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5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5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5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5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5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5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5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5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5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5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5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5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5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5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5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5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5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5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5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5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5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5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5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5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5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5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5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5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5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5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5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5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5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5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5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5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5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5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5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5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5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5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5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5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5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" x14ac:dyDescent="0.25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" x14ac:dyDescent="0.25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" x14ac:dyDescent="0.25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" x14ac:dyDescent="0.25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" x14ac:dyDescent="0.25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" x14ac:dyDescent="0.25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5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5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5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5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5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5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5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5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5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5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5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5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5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5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5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5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5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5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5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5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5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5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5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5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5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5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5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5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5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5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5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5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5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5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5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5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5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5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5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5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5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5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5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5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5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5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5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5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5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5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5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5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5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5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5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5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5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5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5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5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5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5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5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5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5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5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5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5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5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5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5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5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5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5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5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5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5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5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5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5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5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5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5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5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5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5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5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5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5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5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5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5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5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5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5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5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5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5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5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5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5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5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5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5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5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5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5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5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5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5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5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5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5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5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5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5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5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5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5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5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5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5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5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5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5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5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5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5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5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5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5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5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5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5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5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5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5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5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5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5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5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5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5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5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5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5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5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5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5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5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5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5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5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5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5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5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5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5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5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5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5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5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5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5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5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5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5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5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5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5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5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5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5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5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5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5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5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5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5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5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5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5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5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5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5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5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5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5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5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5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5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5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5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5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5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5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5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5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5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5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5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5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5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5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5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5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5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5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5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5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5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5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5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5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5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5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5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5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5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5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5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5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5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5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5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5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5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5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5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5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5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5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5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5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5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5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5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5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5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5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5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5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5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5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5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5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5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5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5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5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5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5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5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5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5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5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5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5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5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5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5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5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5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5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5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5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5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5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5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5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5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5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5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5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5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5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5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5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5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5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5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5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5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5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5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5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5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5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5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5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5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5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5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5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5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5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5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5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5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5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5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5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5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5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5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5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5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5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5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5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5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5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5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5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5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5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5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5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5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5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5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5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5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5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5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5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5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5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5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5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5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5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5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5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5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5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5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5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5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5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5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5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5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5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5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5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5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5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5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5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5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5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5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5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5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5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5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5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5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5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5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5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5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5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5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5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5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5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5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5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5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5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5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5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5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5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5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5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5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5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5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5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5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5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5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5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5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5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5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5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5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5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5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5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5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5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5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5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5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5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5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5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5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5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5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5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5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5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5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5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5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5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5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5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5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5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5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5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5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5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5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5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5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5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5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5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5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5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5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5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5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5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5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5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5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5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5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5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5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5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5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5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5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5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5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5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5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5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5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5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5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5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5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5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5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5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5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5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5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5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5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5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5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5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5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5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5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5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5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5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5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5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5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5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" x14ac:dyDescent="0.25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5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5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5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5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5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5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5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5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5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5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5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5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5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5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5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5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" x14ac:dyDescent="0.25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5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5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5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5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5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" x14ac:dyDescent="0.25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5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5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5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5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5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5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5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5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5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5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5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5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5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5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5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5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5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5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5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5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5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5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" x14ac:dyDescent="0.25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5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5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5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5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5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5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5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5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5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5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5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5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5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5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5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5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5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5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" x14ac:dyDescent="0.25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" x14ac:dyDescent="0.25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" x14ac:dyDescent="0.25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" x14ac:dyDescent="0.25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" x14ac:dyDescent="0.25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" x14ac:dyDescent="0.25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" x14ac:dyDescent="0.25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5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5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5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5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5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5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5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5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5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5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5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5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5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5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5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5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5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5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5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5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5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5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5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5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5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5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5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5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5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5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5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5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5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5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5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5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5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5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5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5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5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5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5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5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5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5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5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5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5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5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5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5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5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5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5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5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5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5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5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5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5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5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5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5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5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5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5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5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5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5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5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5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5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5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5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5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5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5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5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" x14ac:dyDescent="0.25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" x14ac:dyDescent="0.25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" x14ac:dyDescent="0.25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5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5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5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5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5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" x14ac:dyDescent="0.25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5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5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5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5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5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5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5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5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5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5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5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5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5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5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5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5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5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5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5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5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5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5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5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5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5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5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5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5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5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5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" x14ac:dyDescent="0.25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5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5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5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5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5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5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5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5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5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5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5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5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5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5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5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5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5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5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5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5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5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5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5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5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5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5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5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5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5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5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" x14ac:dyDescent="0.25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5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" x14ac:dyDescent="0.25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" x14ac:dyDescent="0.25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" x14ac:dyDescent="0.25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5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5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5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5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" x14ac:dyDescent="0.25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5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" x14ac:dyDescent="0.25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" x14ac:dyDescent="0.25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5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5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5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5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5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5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5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5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5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5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5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5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5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5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5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5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5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5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5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5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5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" x14ac:dyDescent="0.25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" x14ac:dyDescent="0.25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" x14ac:dyDescent="0.25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5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5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5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5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5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5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5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5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5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5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5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5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5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5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5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5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5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5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5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5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5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" x14ac:dyDescent="0.25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" x14ac:dyDescent="0.25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" x14ac:dyDescent="0.25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" x14ac:dyDescent="0.25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" x14ac:dyDescent="0.25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5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5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5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5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5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5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5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5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5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5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5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5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5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5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5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5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5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5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5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5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5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5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5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5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5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5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5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5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5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5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5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5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5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5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5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5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5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5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5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5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5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5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5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5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5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5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5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5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5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5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" x14ac:dyDescent="0.25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5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" x14ac:dyDescent="0.25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" x14ac:dyDescent="0.25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" x14ac:dyDescent="0.25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5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5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5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5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5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5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5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5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5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5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" x14ac:dyDescent="0.25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5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5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5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5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5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5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5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5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5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5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5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5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5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" x14ac:dyDescent="0.25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" x14ac:dyDescent="0.25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" x14ac:dyDescent="0.25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" x14ac:dyDescent="0.25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" x14ac:dyDescent="0.25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5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5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5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5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5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5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5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5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5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5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5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5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5">
      <c r="A1177" s="303">
        <v>1303</v>
      </c>
      <c r="B1177" s="305" t="s">
        <v>1507</v>
      </c>
      <c r="C1177" s="45" t="s">
        <v>1581</v>
      </c>
      <c r="D1177" s="307" t="s">
        <v>1580</v>
      </c>
      <c r="E1177" s="10"/>
      <c r="F1177" s="309" t="s">
        <v>1583</v>
      </c>
      <c r="G1177" s="307" t="s">
        <v>1179</v>
      </c>
      <c r="H1177" s="311">
        <v>42318</v>
      </c>
      <c r="I1177" s="307" t="s">
        <v>1181</v>
      </c>
      <c r="J1177" s="311">
        <v>42318</v>
      </c>
      <c r="K1177" s="43" t="s">
        <v>1584</v>
      </c>
    </row>
    <row r="1178" spans="1:11" x14ac:dyDescent="0.25">
      <c r="A1178" s="304"/>
      <c r="B1178" s="306"/>
      <c r="C1178" s="45" t="s">
        <v>1582</v>
      </c>
      <c r="D1178" s="308"/>
      <c r="E1178" s="10"/>
      <c r="F1178" s="310"/>
      <c r="G1178" s="308"/>
      <c r="H1178" s="312"/>
      <c r="I1178" s="308"/>
      <c r="J1178" s="312"/>
      <c r="K1178" s="3"/>
    </row>
    <row r="1179" spans="1:11" x14ac:dyDescent="0.25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5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5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5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5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5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5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5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5">
      <c r="A1187" s="303">
        <v>1306</v>
      </c>
      <c r="B1187" s="305" t="s">
        <v>257</v>
      </c>
      <c r="C1187" s="45" t="s">
        <v>1599</v>
      </c>
      <c r="D1187" s="307" t="s">
        <v>1601</v>
      </c>
      <c r="E1187" s="10"/>
      <c r="F1187" s="307" t="s">
        <v>33</v>
      </c>
      <c r="G1187" s="307" t="s">
        <v>1202</v>
      </c>
      <c r="H1187" s="311">
        <v>42388</v>
      </c>
      <c r="I1187" s="307" t="s">
        <v>1368</v>
      </c>
      <c r="J1187" s="307" t="s">
        <v>1602</v>
      </c>
      <c r="K1187" s="305" t="s">
        <v>1603</v>
      </c>
    </row>
    <row r="1188" spans="1:11" x14ac:dyDescent="0.25">
      <c r="A1188" s="304"/>
      <c r="B1188" s="306"/>
      <c r="C1188" s="80" t="s">
        <v>1600</v>
      </c>
      <c r="D1188" s="308"/>
      <c r="E1188" s="10"/>
      <c r="F1188" s="308"/>
      <c r="G1188" s="308"/>
      <c r="H1188" s="312"/>
      <c r="I1188" s="308"/>
      <c r="J1188" s="308"/>
      <c r="K1188" s="306"/>
    </row>
    <row r="1189" spans="1:11" x14ac:dyDescent="0.25">
      <c r="A1189" s="303">
        <v>1307</v>
      </c>
      <c r="B1189" s="305" t="s">
        <v>257</v>
      </c>
      <c r="C1189" s="45" t="s">
        <v>1604</v>
      </c>
      <c r="D1189" s="307" t="s">
        <v>1601</v>
      </c>
      <c r="E1189" s="10"/>
      <c r="F1189" s="307" t="s">
        <v>33</v>
      </c>
      <c r="G1189" s="307" t="s">
        <v>1202</v>
      </c>
      <c r="H1189" s="311">
        <v>42388</v>
      </c>
      <c r="I1189" s="307" t="s">
        <v>1368</v>
      </c>
      <c r="J1189" s="307" t="s">
        <v>1602</v>
      </c>
      <c r="K1189" s="305" t="s">
        <v>1606</v>
      </c>
    </row>
    <row r="1190" spans="1:11" x14ac:dyDescent="0.25">
      <c r="A1190" s="304"/>
      <c r="B1190" s="306"/>
      <c r="C1190" s="80" t="s">
        <v>1605</v>
      </c>
      <c r="D1190" s="308"/>
      <c r="E1190" s="10"/>
      <c r="F1190" s="308"/>
      <c r="G1190" s="308"/>
      <c r="H1190" s="312"/>
      <c r="I1190" s="308"/>
      <c r="J1190" s="308"/>
      <c r="K1190" s="306"/>
    </row>
    <row r="1191" spans="1:11" x14ac:dyDescent="0.25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5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5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5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5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5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5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5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5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5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sheetProtection selectLockedCells="1"/>
  <autoFilter ref="A4:P1160"/>
  <mergeCells count="27">
    <mergeCell ref="A1187:A1188"/>
    <mergeCell ref="A1189:A1190"/>
    <mergeCell ref="B1189:B1190"/>
    <mergeCell ref="D1189:D1190"/>
    <mergeCell ref="F1189:F1190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X111"/>
  <sheetViews>
    <sheetView zoomScale="90" zoomScaleNormal="90" workbookViewId="0">
      <pane ySplit="3" topLeftCell="A4" activePane="bottomLeft" state="frozen"/>
      <selection pane="bottomLeft" activeCell="F21" sqref="F21"/>
    </sheetView>
  </sheetViews>
  <sheetFormatPr defaultRowHeight="12.5" x14ac:dyDescent="0.25"/>
  <cols>
    <col min="1" max="1" width="19.1796875" style="248" bestFit="1" customWidth="1"/>
    <col min="2" max="2" width="15.54296875" customWidth="1"/>
    <col min="3" max="3" width="13.81640625" customWidth="1"/>
    <col min="4" max="5" width="18.54296875" customWidth="1"/>
    <col min="6" max="6" width="19.1796875" bestFit="1" customWidth="1"/>
    <col min="7" max="7" width="15.453125" style="248" customWidth="1"/>
    <col min="8" max="8" width="18.1796875" customWidth="1"/>
    <col min="9" max="9" width="11.81640625" customWidth="1"/>
    <col min="10" max="10" width="11.54296875" customWidth="1"/>
    <col min="11" max="11" width="18.453125" customWidth="1"/>
    <col min="12" max="12" width="19" customWidth="1"/>
    <col min="13" max="13" width="17.7265625" style="139" bestFit="1" customWidth="1"/>
    <col min="14" max="14" width="11.81640625" customWidth="1"/>
    <col min="15" max="15" width="11" bestFit="1" customWidth="1"/>
    <col min="16" max="17" width="11" customWidth="1"/>
    <col min="18" max="18" width="17.1796875" style="290" customWidth="1"/>
    <col min="19" max="19" width="11" customWidth="1"/>
    <col min="20" max="20" width="16.453125" style="139" customWidth="1"/>
    <col min="21" max="21" width="13.1796875" bestFit="1" customWidth="1"/>
    <col min="22" max="22" width="12.1796875" bestFit="1" customWidth="1"/>
    <col min="23" max="23" width="15.54296875" customWidth="1"/>
    <col min="24" max="24" width="14.81640625" customWidth="1"/>
    <col min="25" max="25" width="8.81640625" customWidth="1"/>
    <col min="26" max="26" width="12.1796875" style="139" customWidth="1"/>
    <col min="27" max="27" width="11.1796875" customWidth="1"/>
    <col min="28" max="28" width="15" style="290" customWidth="1"/>
    <col min="29" max="29" width="16.81640625" customWidth="1"/>
    <col min="30" max="30" width="15.81640625" customWidth="1"/>
    <col min="31" max="31" width="12.1796875" customWidth="1"/>
    <col min="32" max="32" width="11.81640625" customWidth="1"/>
    <col min="33" max="33" width="12" bestFit="1" customWidth="1"/>
    <col min="34" max="34" width="12.1796875" customWidth="1"/>
    <col min="35" max="38" width="12.1796875" bestFit="1" customWidth="1"/>
    <col min="39" max="39" width="15.81640625" customWidth="1"/>
    <col min="40" max="41" width="14.81640625" customWidth="1"/>
    <col min="42" max="42" width="17.81640625" customWidth="1"/>
    <col min="43" max="43" width="11.453125" customWidth="1"/>
    <col min="44" max="44" width="14.54296875" customWidth="1"/>
    <col min="45" max="45" width="17.81640625" customWidth="1"/>
    <col min="46" max="46" width="15.81640625" customWidth="1"/>
    <col min="47" max="47" width="25.1796875" customWidth="1"/>
    <col min="48" max="49" width="20.54296875" customWidth="1"/>
    <col min="50" max="50" width="25.81640625" customWidth="1"/>
  </cols>
  <sheetData>
    <row r="1" spans="1:50" ht="13" x14ac:dyDescent="0.25">
      <c r="A1" s="313" t="s">
        <v>1651</v>
      </c>
      <c r="B1" s="313"/>
      <c r="C1" s="313"/>
      <c r="D1" s="313"/>
      <c r="E1" s="313"/>
      <c r="F1" s="313"/>
      <c r="G1" s="313"/>
      <c r="H1" s="313"/>
      <c r="I1" s="313"/>
      <c r="J1" s="157"/>
      <c r="K1" s="254"/>
      <c r="L1" s="154"/>
      <c r="M1" s="315" t="s">
        <v>1653</v>
      </c>
      <c r="N1" s="315"/>
      <c r="O1" s="315"/>
      <c r="P1" s="315"/>
      <c r="Q1" s="315"/>
      <c r="R1" s="315"/>
      <c r="S1" s="315"/>
      <c r="T1" s="315"/>
      <c r="U1" s="315"/>
      <c r="V1" s="315"/>
      <c r="W1" s="315"/>
      <c r="X1" s="315"/>
      <c r="Y1" s="316" t="s">
        <v>1671</v>
      </c>
      <c r="Z1" s="316"/>
      <c r="AA1" s="316"/>
      <c r="AB1" s="316"/>
      <c r="AC1" s="316"/>
      <c r="AD1" s="316"/>
      <c r="AE1" s="316"/>
      <c r="AF1" s="316"/>
      <c r="AG1" s="316"/>
      <c r="AH1" s="316"/>
      <c r="AI1" s="316"/>
      <c r="AJ1" s="316"/>
      <c r="AK1" s="316"/>
      <c r="AL1" s="316"/>
      <c r="AM1" s="317" t="s">
        <v>1665</v>
      </c>
      <c r="AN1" s="317"/>
      <c r="AO1" s="317"/>
      <c r="AP1" s="317"/>
      <c r="AQ1" s="317"/>
      <c r="AR1" s="317"/>
      <c r="AS1" s="317"/>
      <c r="AT1" s="317"/>
      <c r="AU1" s="317"/>
      <c r="AV1" s="317"/>
      <c r="AW1" s="317"/>
      <c r="AX1" s="317"/>
    </row>
    <row r="2" spans="1:50" ht="13" x14ac:dyDescent="0.25">
      <c r="A2" s="314"/>
      <c r="B2" s="314"/>
      <c r="C2" s="314"/>
      <c r="D2" s="314"/>
      <c r="E2" s="314"/>
      <c r="F2" s="314"/>
      <c r="G2" s="314"/>
      <c r="H2" s="314"/>
      <c r="I2" s="314"/>
      <c r="J2" s="155"/>
      <c r="K2" s="155"/>
      <c r="L2" s="15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6"/>
      <c r="Z2" s="316"/>
      <c r="AA2" s="316"/>
      <c r="AB2" s="316"/>
      <c r="AC2" s="316"/>
      <c r="AD2" s="316"/>
      <c r="AE2" s="316"/>
      <c r="AF2" s="316"/>
      <c r="AG2" s="316"/>
      <c r="AH2" s="316"/>
      <c r="AI2" s="316"/>
      <c r="AJ2" s="316"/>
      <c r="AK2" s="316"/>
      <c r="AL2" s="316"/>
      <c r="AM2" s="317"/>
      <c r="AN2" s="317"/>
      <c r="AO2" s="317"/>
      <c r="AP2" s="317"/>
      <c r="AQ2" s="317"/>
      <c r="AR2" s="317"/>
      <c r="AS2" s="317"/>
      <c r="AT2" s="317"/>
      <c r="AU2" s="317"/>
      <c r="AV2" s="317"/>
      <c r="AW2" s="317"/>
      <c r="AX2" s="317"/>
    </row>
    <row r="3" spans="1:50" ht="39" x14ac:dyDescent="0.25">
      <c r="A3" s="245" t="s">
        <v>692</v>
      </c>
      <c r="B3" s="123" t="s">
        <v>1704</v>
      </c>
      <c r="C3" s="123" t="s">
        <v>1652</v>
      </c>
      <c r="D3" s="123" t="s">
        <v>1804</v>
      </c>
      <c r="E3" s="123" t="s">
        <v>1805</v>
      </c>
      <c r="F3" s="124" t="s">
        <v>2</v>
      </c>
      <c r="G3" s="124" t="s">
        <v>1637</v>
      </c>
      <c r="H3" s="250" t="s">
        <v>1613</v>
      </c>
      <c r="I3" s="176" t="s">
        <v>1633</v>
      </c>
      <c r="J3" s="177" t="s">
        <v>1650</v>
      </c>
      <c r="K3" s="153" t="s">
        <v>1661</v>
      </c>
      <c r="L3" s="156" t="s">
        <v>1662</v>
      </c>
      <c r="M3" s="215" t="s">
        <v>1654</v>
      </c>
      <c r="N3" s="158" t="s">
        <v>1760</v>
      </c>
      <c r="O3" s="158" t="s">
        <v>1652</v>
      </c>
      <c r="P3" s="158" t="s">
        <v>1804</v>
      </c>
      <c r="Q3" s="158" t="s">
        <v>1805</v>
      </c>
      <c r="R3" s="288" t="s">
        <v>1655</v>
      </c>
      <c r="S3" s="159" t="s">
        <v>1637</v>
      </c>
      <c r="T3" s="217" t="s">
        <v>1613</v>
      </c>
      <c r="U3" s="159" t="s">
        <v>1656</v>
      </c>
      <c r="V3" s="159" t="s">
        <v>1769</v>
      </c>
      <c r="W3" s="159" t="s">
        <v>1664</v>
      </c>
      <c r="X3" s="159" t="s">
        <v>1663</v>
      </c>
      <c r="Y3" s="163" t="s">
        <v>1657</v>
      </c>
      <c r="Z3" s="216" t="s">
        <v>1654</v>
      </c>
      <c r="AA3" s="163" t="s">
        <v>1652</v>
      </c>
      <c r="AB3" s="293" t="s">
        <v>1658</v>
      </c>
      <c r="AC3" s="163" t="s">
        <v>1659</v>
      </c>
      <c r="AD3" s="163" t="s">
        <v>1660</v>
      </c>
      <c r="AE3" s="163" t="s">
        <v>1770</v>
      </c>
      <c r="AF3" s="163" t="s">
        <v>1672</v>
      </c>
      <c r="AG3" s="163" t="s">
        <v>1637</v>
      </c>
      <c r="AH3" s="163" t="s">
        <v>1664</v>
      </c>
      <c r="AI3" s="163" t="s">
        <v>1667</v>
      </c>
      <c r="AJ3" s="163" t="s">
        <v>1668</v>
      </c>
      <c r="AK3" s="163" t="s">
        <v>1669</v>
      </c>
      <c r="AL3" s="163" t="s">
        <v>1670</v>
      </c>
      <c r="AM3" s="160" t="s">
        <v>1703</v>
      </c>
      <c r="AN3" s="160" t="s">
        <v>1666</v>
      </c>
      <c r="AO3" s="160" t="s">
        <v>1673</v>
      </c>
      <c r="AP3" s="160" t="s">
        <v>1698</v>
      </c>
      <c r="AQ3" s="161" t="s">
        <v>3</v>
      </c>
      <c r="AR3" s="161" t="s">
        <v>4</v>
      </c>
      <c r="AS3" s="161" t="s">
        <v>1622</v>
      </c>
      <c r="AT3" s="161" t="s">
        <v>5</v>
      </c>
      <c r="AU3" s="162" t="s">
        <v>1615</v>
      </c>
      <c r="AV3" s="162" t="s">
        <v>194</v>
      </c>
      <c r="AW3" s="162" t="s">
        <v>195</v>
      </c>
      <c r="AX3" s="161" t="s">
        <v>6</v>
      </c>
    </row>
    <row r="4" spans="1:50" x14ac:dyDescent="0.25">
      <c r="A4" s="246"/>
      <c r="B4" s="179"/>
      <c r="C4" s="179"/>
      <c r="D4" s="179"/>
      <c r="E4" s="184"/>
      <c r="F4" s="180"/>
      <c r="G4" s="180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4" s="251"/>
      <c r="I4" s="184"/>
      <c r="J4" s="183"/>
      <c r="K4" s="230" t="str">
        <f>IF(VAP100AE[[#This Row],[Type]]="VAP100A",IF(VAP100AE[[#This Row],[TP0054]]="PASS",IF(G4=0,IF(G4="","",F4),""),""),"")</f>
        <v/>
      </c>
      <c r="L4" s="180" t="str">
        <f>IF(VAP100AE[[#This Row],[Type]]="VAP100E",IF(VAP100AE[[#This Row],[TP0054]]="PASS",IF(G4=0,IF(G4="","",F4),""),""),"")</f>
        <v/>
      </c>
      <c r="M4" s="178"/>
      <c r="N4" s="185"/>
      <c r="O4" s="185"/>
      <c r="P4" s="185"/>
      <c r="Q4" s="185"/>
      <c r="R4" s="289"/>
      <c r="S4" s="180">
        <f>IF(AND(COUNTIF(Assembly[Membrane SN],Membranes[[#This Row],[Sub-contractor SN]])=1,Membranes[[#This Row],[QAI0006]]="PASS"),1,0)</f>
        <v>0</v>
      </c>
      <c r="T4" s="182"/>
      <c r="U4" s="183"/>
      <c r="V4" s="183"/>
      <c r="W4" s="185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4" s="180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4" s="180"/>
      <c r="Z4" s="178"/>
      <c r="AA4" s="180"/>
      <c r="AB4" s="294"/>
      <c r="AC4" s="183"/>
      <c r="AD4" s="183"/>
      <c r="AE4" s="183"/>
      <c r="AF4" s="183"/>
      <c r="AG4" s="180">
        <f>IF(AND(COUNTIF(VAP_Destination[ID/SN],Assembly[[#This Row],[ID]])=1,Assembly[[#This Row],[TP0094/96]]="PASS",Assembly[[#This Row],[QAI0008/9]]="PASS"),1,0)</f>
        <v>0</v>
      </c>
      <c r="AH4" s="185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4" s="185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4" s="185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4" s="185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4" s="185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4" s="238">
        <v>0</v>
      </c>
      <c r="AN4" s="235"/>
      <c r="AO4" s="235"/>
      <c r="AP4" s="235"/>
      <c r="AQ4" s="236"/>
      <c r="AR4" s="236"/>
      <c r="AS4" s="236"/>
      <c r="AT4" s="236"/>
      <c r="AU4" s="237"/>
      <c r="AV4" s="237"/>
      <c r="AW4" s="237"/>
      <c r="AX4" s="240"/>
    </row>
    <row r="5" spans="1:50" s="34" customFormat="1" x14ac:dyDescent="0.25">
      <c r="A5" s="247">
        <v>43808</v>
      </c>
      <c r="B5" s="241" t="s">
        <v>1787</v>
      </c>
      <c r="C5" s="242" t="s">
        <v>1507</v>
      </c>
      <c r="D5" s="242"/>
      <c r="E5" s="292"/>
      <c r="F5" s="243" t="s">
        <v>1788</v>
      </c>
      <c r="G5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5" s="252">
        <v>44124</v>
      </c>
      <c r="I5" s="199" t="s">
        <v>1641</v>
      </c>
      <c r="J5" s="200" t="s">
        <v>1641</v>
      </c>
      <c r="K5" s="213" t="str">
        <f>IF(VAP100AE[[#This Row],[Type]]="VAP100A",IF(VAP100AE[[#This Row],[TP0054]]="PASS",IF(G5=0,IF(G5="","",F5),""),""),"")</f>
        <v/>
      </c>
      <c r="L5" s="198" t="str">
        <f>IF(VAP100AE[[#This Row],[Type]]="VAP100E",IF(VAP100AE[[#This Row],[TP0054]]="PASS",IF(G5=0,IF(G5="","",F5),""),""),"")</f>
        <v>RN519215/1219/AD</v>
      </c>
      <c r="M5" s="265">
        <v>36892</v>
      </c>
      <c r="N5" s="185">
        <v>1</v>
      </c>
      <c r="O5" s="185" t="s">
        <v>564</v>
      </c>
      <c r="P5" s="185">
        <v>1000</v>
      </c>
      <c r="Q5" s="183">
        <v>1234</v>
      </c>
      <c r="R5" s="289" t="s">
        <v>1808</v>
      </c>
      <c r="S5" s="181">
        <f>IF(AND(COUNTIF(Assembly[Membrane SN],Membranes[[#This Row],[Sub-contractor SN]])=1,Membranes[[#This Row],[QAI0006]]="PASS"),1,0)</f>
        <v>0</v>
      </c>
      <c r="T5" s="266"/>
      <c r="U5" s="183" t="s">
        <v>1643</v>
      </c>
      <c r="V5" s="183" t="s">
        <v>1643</v>
      </c>
      <c r="W5" s="230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5" s="181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5"/>
      <c r="Z5"/>
      <c r="AA5"/>
      <c r="AB5" s="290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s="34" customFormat="1" x14ac:dyDescent="0.25">
      <c r="A6" s="247">
        <v>43808</v>
      </c>
      <c r="B6" s="241" t="s">
        <v>1787</v>
      </c>
      <c r="C6" s="242" t="s">
        <v>1507</v>
      </c>
      <c r="D6" s="242"/>
      <c r="E6" s="292"/>
      <c r="F6" s="243" t="s">
        <v>1789</v>
      </c>
      <c r="G6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6" s="252">
        <v>44124</v>
      </c>
      <c r="I6" s="199" t="s">
        <v>1641</v>
      </c>
      <c r="J6" s="200" t="s">
        <v>1641</v>
      </c>
      <c r="K6" s="213" t="str">
        <f>IF(VAP100AE[[#This Row],[Type]]="VAP100A",IF(VAP100AE[[#This Row],[TP0054]]="PASS",IF(G6=0,IF(G6="","",F6),""),""),"")</f>
        <v/>
      </c>
      <c r="L6" s="198" t="str">
        <f>IF(VAP100AE[[#This Row],[Type]]="VAP100E",IF(VAP100AE[[#This Row],[TP0054]]="PASS",IF(G6=0,IF(G6="","",F6),""),""),"")</f>
        <v>RN/519211/1219/AD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 s="290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s="34" customFormat="1" x14ac:dyDescent="0.25">
      <c r="A7" s="247">
        <v>43808</v>
      </c>
      <c r="B7" s="241" t="s">
        <v>1787</v>
      </c>
      <c r="C7" s="242" t="s">
        <v>1507</v>
      </c>
      <c r="D7" s="242"/>
      <c r="E7" s="292"/>
      <c r="F7" s="243" t="s">
        <v>1790</v>
      </c>
      <c r="G7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7" s="252">
        <v>44124</v>
      </c>
      <c r="I7" s="199" t="s">
        <v>1641</v>
      </c>
      <c r="J7" s="200" t="s">
        <v>1641</v>
      </c>
      <c r="K7" s="213" t="str">
        <f>IF(VAP100AE[[#This Row],[Type]]="VAP100A",IF(VAP100AE[[#This Row],[TP0054]]="PASS",IF(G7=0,IF(G7="","",F7),""),""),"")</f>
        <v/>
      </c>
      <c r="L7" s="198" t="str">
        <f>IF(VAP100AE[[#This Row],[Type]]="VAP100E",IF(VAP100AE[[#This Row],[TP0054]]="PASS",IF(G7=0,IF(G7="","",F7),""),""),"")</f>
        <v>RN/519225/1219/AD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 s="290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s="34" customFormat="1" x14ac:dyDescent="0.25">
      <c r="A8" s="247">
        <v>43808</v>
      </c>
      <c r="B8" s="241" t="s">
        <v>1787</v>
      </c>
      <c r="C8" s="242" t="s">
        <v>1507</v>
      </c>
      <c r="D8" s="242"/>
      <c r="E8" s="292"/>
      <c r="F8" s="243" t="s">
        <v>1791</v>
      </c>
      <c r="G8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8" s="252">
        <v>44124</v>
      </c>
      <c r="I8" s="199" t="s">
        <v>1641</v>
      </c>
      <c r="J8" s="200" t="s">
        <v>1641</v>
      </c>
      <c r="K8" s="213" t="str">
        <f>IF(VAP100AE[[#This Row],[Type]]="VAP100A",IF(VAP100AE[[#This Row],[TP0054]]="PASS",IF(G8=0,IF(G8="","",F8),""),""),"")</f>
        <v/>
      </c>
      <c r="L8" s="198" t="str">
        <f>IF(VAP100AE[[#This Row],[Type]]="VAP100E",IF(VAP100AE[[#This Row],[TP0054]]="PASS",IF(G8=0,IF(G8="","",F8),""),""),"")</f>
        <v>RN/519209/1219/AD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 s="290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25">
      <c r="A9" s="247">
        <v>43808</v>
      </c>
      <c r="B9" s="241" t="s">
        <v>1787</v>
      </c>
      <c r="C9" s="242" t="s">
        <v>1507</v>
      </c>
      <c r="D9" s="242"/>
      <c r="E9" s="292"/>
      <c r="F9" s="243" t="s">
        <v>1792</v>
      </c>
      <c r="G9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9" s="252">
        <v>44124</v>
      </c>
      <c r="I9" s="199" t="s">
        <v>1641</v>
      </c>
      <c r="J9" s="200" t="s">
        <v>1641</v>
      </c>
      <c r="K9" s="213" t="str">
        <f>IF(VAP100AE[[#This Row],[Type]]="VAP100A",IF(VAP100AE[[#This Row],[TP0054]]="PASS",IF(G9=0,IF(G9="","",F9),""),""),"")</f>
        <v/>
      </c>
      <c r="L9" s="198" t="str">
        <f>IF(VAP100AE[[#This Row],[Type]]="VAP100E",IF(VAP100AE[[#This Row],[TP0054]]="PASS",IF(G9=0,IF(G9="","",F9),""),""),"")</f>
        <v>RN/519210/1219/AD</v>
      </c>
      <c r="M9"/>
      <c r="R9"/>
      <c r="T9"/>
      <c r="Z9"/>
    </row>
    <row r="10" spans="1:50" x14ac:dyDescent="0.25">
      <c r="A10" s="247">
        <v>43808</v>
      </c>
      <c r="B10" s="241" t="s">
        <v>1787</v>
      </c>
      <c r="C10" s="242" t="s">
        <v>1507</v>
      </c>
      <c r="D10" s="242"/>
      <c r="E10" s="292"/>
      <c r="F10" s="243" t="s">
        <v>1793</v>
      </c>
      <c r="G10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10" s="252">
        <v>44124</v>
      </c>
      <c r="I10" s="199" t="s">
        <v>1641</v>
      </c>
      <c r="J10" s="200" t="s">
        <v>1641</v>
      </c>
      <c r="K10" s="213" t="str">
        <f>IF(VAP100AE[[#This Row],[Type]]="VAP100A",IF(VAP100AE[[#This Row],[TP0054]]="PASS",IF(G10=0,IF(G10="","",F10),""),""),"")</f>
        <v/>
      </c>
      <c r="L10" s="198" t="str">
        <f>IF(VAP100AE[[#This Row],[Type]]="VAP100E",IF(VAP100AE[[#This Row],[TP0054]]="PASS",IF(G10=0,IF(G10="","",F10),""),""),"")</f>
        <v>RN/519223/1219/AD</v>
      </c>
      <c r="M10"/>
      <c r="R10"/>
      <c r="T10"/>
      <c r="Z10"/>
    </row>
    <row r="11" spans="1:50" x14ac:dyDescent="0.25">
      <c r="A11" s="265">
        <v>36892</v>
      </c>
      <c r="B11" s="264" t="s">
        <v>1070</v>
      </c>
      <c r="C11" s="179" t="s">
        <v>257</v>
      </c>
      <c r="D11" s="179">
        <v>2000</v>
      </c>
      <c r="E11" s="184">
        <v>1234</v>
      </c>
      <c r="F11" s="268" t="s">
        <v>1806</v>
      </c>
      <c r="G11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11" s="267">
        <v>40471</v>
      </c>
      <c r="I11" s="184" t="s">
        <v>1643</v>
      </c>
      <c r="J11" s="183" t="s">
        <v>1643</v>
      </c>
      <c r="K11" s="230" t="str">
        <f>IF(VAP100AE[[#This Row],[Type]]="VAP100A",IF(VAP100AE[[#This Row],[TP0054]]="PASS",IF(G11=0,IF(G11="","",F11),""),""),"")</f>
        <v/>
      </c>
      <c r="L11" s="181" t="str">
        <f>IF(VAP100AE[[#This Row],[Type]]="VAP100E",IF(VAP100AE[[#This Row],[TP0054]]="PASS",IF(G11=0,IF(G11="","",F11),""),""),"")</f>
        <v/>
      </c>
      <c r="M11"/>
      <c r="R11"/>
      <c r="T11"/>
      <c r="Z11"/>
    </row>
    <row r="12" spans="1:50" x14ac:dyDescent="0.25">
      <c r="A12" s="265">
        <v>36892</v>
      </c>
      <c r="B12" s="264" t="s">
        <v>1070</v>
      </c>
      <c r="C12" s="179" t="s">
        <v>257</v>
      </c>
      <c r="D12" s="179">
        <v>2000</v>
      </c>
      <c r="E12" s="184"/>
      <c r="F12" s="268" t="s">
        <v>1807</v>
      </c>
      <c r="G12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12" s="267">
        <v>40472</v>
      </c>
      <c r="I12" s="184" t="s">
        <v>1643</v>
      </c>
      <c r="J12" s="183" t="s">
        <v>1643</v>
      </c>
      <c r="K12" s="230" t="str">
        <f>IF(VAP100AE[[#This Row],[Type]]="VAP100A",IF(VAP100AE[[#This Row],[TP0054]]="PASS",IF(G12=0,IF(G12="","",F12),""),""),"")</f>
        <v/>
      </c>
      <c r="L12" s="181" t="str">
        <f>IF(VAP100AE[[#This Row],[Type]]="VAP100E",IF(VAP100AE[[#This Row],[TP0054]]="PASS",IF(G12=0,IF(G12="","",F12),""),""),"")</f>
        <v/>
      </c>
      <c r="M12"/>
      <c r="R12"/>
      <c r="T12"/>
      <c r="Y12" s="34"/>
      <c r="Z12" s="34"/>
      <c r="AA12" s="34"/>
      <c r="AB12" s="233"/>
      <c r="AC12" s="34"/>
      <c r="AD12" s="34"/>
      <c r="AE12" s="34"/>
      <c r="AF12" s="34"/>
      <c r="AG12" s="34"/>
      <c r="AH12" s="34"/>
      <c r="AI12" s="34"/>
      <c r="AJ12" s="34"/>
      <c r="AK12" s="34"/>
      <c r="AL12" s="34"/>
    </row>
    <row r="13" spans="1:50" x14ac:dyDescent="0.25">
      <c r="A13"/>
      <c r="G13"/>
      <c r="M13"/>
      <c r="T13"/>
      <c r="Z13"/>
    </row>
    <row r="14" spans="1:50" x14ac:dyDescent="0.25">
      <c r="A14"/>
      <c r="G14"/>
      <c r="M14"/>
      <c r="T14"/>
      <c r="Z14"/>
    </row>
    <row r="15" spans="1:50" x14ac:dyDescent="0.25">
      <c r="A15"/>
      <c r="G15"/>
      <c r="M15"/>
      <c r="T15"/>
      <c r="Z15"/>
    </row>
    <row r="16" spans="1:50" x14ac:dyDescent="0.25">
      <c r="A16"/>
      <c r="G16"/>
      <c r="M16"/>
      <c r="T16"/>
      <c r="Z16"/>
    </row>
    <row r="17" spans="1:26" x14ac:dyDescent="0.25">
      <c r="A17"/>
      <c r="G17"/>
      <c r="M17"/>
      <c r="T17"/>
      <c r="Z17"/>
    </row>
    <row r="18" spans="1:26" x14ac:dyDescent="0.25">
      <c r="A18"/>
      <c r="G18"/>
      <c r="M18"/>
      <c r="T18"/>
      <c r="Z18"/>
    </row>
    <row r="19" spans="1:26" x14ac:dyDescent="0.25">
      <c r="A19"/>
      <c r="G19"/>
      <c r="M19"/>
      <c r="T19"/>
      <c r="Z19"/>
    </row>
    <row r="20" spans="1:26" x14ac:dyDescent="0.25">
      <c r="A20"/>
      <c r="G20"/>
      <c r="M20"/>
      <c r="T20"/>
      <c r="Z20"/>
    </row>
    <row r="21" spans="1:26" x14ac:dyDescent="0.25">
      <c r="A21"/>
      <c r="G21"/>
      <c r="M21"/>
      <c r="T21"/>
      <c r="Z21"/>
    </row>
    <row r="22" spans="1:26" x14ac:dyDescent="0.25">
      <c r="A22"/>
      <c r="G22"/>
      <c r="M22"/>
      <c r="T22"/>
      <c r="Z22"/>
    </row>
    <row r="23" spans="1:26" x14ac:dyDescent="0.25">
      <c r="A23"/>
      <c r="G23"/>
      <c r="M23"/>
      <c r="T23"/>
      <c r="Z23"/>
    </row>
    <row r="24" spans="1:26" x14ac:dyDescent="0.25">
      <c r="A24"/>
      <c r="G24"/>
      <c r="M24"/>
      <c r="T24"/>
      <c r="Z24"/>
    </row>
    <row r="25" spans="1:26" x14ac:dyDescent="0.25">
      <c r="A25"/>
      <c r="G25"/>
      <c r="M25"/>
      <c r="T25"/>
      <c r="Z25"/>
    </row>
    <row r="26" spans="1:26" x14ac:dyDescent="0.25">
      <c r="A26"/>
      <c r="G26"/>
      <c r="M26"/>
      <c r="T26"/>
      <c r="Z26"/>
    </row>
    <row r="27" spans="1:26" x14ac:dyDescent="0.25">
      <c r="A27"/>
      <c r="G27"/>
      <c r="M27"/>
      <c r="T27"/>
      <c r="Z27"/>
    </row>
    <row r="28" spans="1:26" x14ac:dyDescent="0.25">
      <c r="A28"/>
      <c r="G28"/>
      <c r="M28"/>
      <c r="T28"/>
      <c r="Z28"/>
    </row>
    <row r="29" spans="1:26" x14ac:dyDescent="0.25">
      <c r="A29"/>
      <c r="G29"/>
      <c r="M29"/>
      <c r="T29"/>
      <c r="Z29"/>
    </row>
    <row r="30" spans="1:26" x14ac:dyDescent="0.25">
      <c r="M30"/>
      <c r="T30"/>
      <c r="Z30"/>
    </row>
    <row r="31" spans="1:26" x14ac:dyDescent="0.25">
      <c r="M31"/>
      <c r="T31"/>
      <c r="Z31"/>
    </row>
    <row r="32" spans="1:26" x14ac:dyDescent="0.25">
      <c r="M32"/>
      <c r="T32"/>
      <c r="Z32"/>
    </row>
    <row r="33" spans="13:50" x14ac:dyDescent="0.25">
      <c r="M33" s="34"/>
      <c r="N33" s="34"/>
      <c r="O33" s="34"/>
      <c r="P33" s="34"/>
      <c r="Q33" s="34"/>
      <c r="R33" s="233"/>
      <c r="S33" s="34"/>
      <c r="T33" s="34"/>
      <c r="U33" s="34"/>
      <c r="V33" s="34"/>
      <c r="W33" s="34"/>
      <c r="X33" s="34"/>
      <c r="Z33"/>
    </row>
    <row r="34" spans="13:50" x14ac:dyDescent="0.25">
      <c r="M34" s="34"/>
      <c r="N34" s="34"/>
      <c r="O34" s="34"/>
      <c r="P34" s="34"/>
      <c r="Q34" s="34"/>
      <c r="R34" s="233"/>
      <c r="S34" s="34"/>
      <c r="T34" s="34"/>
      <c r="U34" s="34"/>
      <c r="V34" s="34"/>
      <c r="W34" s="34"/>
      <c r="X34" s="34"/>
      <c r="Z34"/>
    </row>
    <row r="35" spans="13:50" x14ac:dyDescent="0.25">
      <c r="M35" s="34"/>
      <c r="N35" s="34"/>
      <c r="O35" s="34"/>
      <c r="P35" s="34"/>
      <c r="Q35" s="34"/>
      <c r="R35" s="233"/>
      <c r="S35" s="34"/>
      <c r="T35" s="34"/>
      <c r="U35" s="34"/>
      <c r="V35" s="34"/>
      <c r="W35" s="34"/>
      <c r="X35" s="34"/>
      <c r="Z35"/>
    </row>
    <row r="36" spans="13:50" x14ac:dyDescent="0.25">
      <c r="M36" s="34"/>
      <c r="N36" s="34"/>
      <c r="O36" s="34"/>
      <c r="P36" s="34"/>
      <c r="Q36" s="34"/>
      <c r="R36" s="233"/>
      <c r="S36" s="34"/>
      <c r="T36" s="34"/>
      <c r="U36" s="34"/>
      <c r="V36" s="34"/>
      <c r="W36" s="34"/>
      <c r="X36" s="34"/>
      <c r="Z36"/>
    </row>
    <row r="37" spans="13:50" x14ac:dyDescent="0.25">
      <c r="M37" s="34"/>
      <c r="N37" s="34"/>
      <c r="O37" s="34"/>
      <c r="P37" s="34"/>
      <c r="Q37" s="34"/>
      <c r="R37" s="233"/>
      <c r="S37" s="34"/>
      <c r="T37" s="34"/>
      <c r="U37" s="34"/>
      <c r="V37" s="34"/>
      <c r="W37" s="34"/>
      <c r="X37" s="34"/>
      <c r="Z37"/>
    </row>
    <row r="38" spans="13:50" x14ac:dyDescent="0.25">
      <c r="M38" s="34"/>
      <c r="N38" s="34"/>
      <c r="O38" s="34"/>
      <c r="P38" s="34"/>
      <c r="Q38" s="34"/>
      <c r="R38" s="233"/>
      <c r="S38" s="34"/>
      <c r="T38" s="34"/>
      <c r="U38" s="34"/>
      <c r="V38" s="34"/>
      <c r="W38" s="34"/>
      <c r="X38" s="34"/>
      <c r="Z38"/>
    </row>
    <row r="39" spans="13:50" x14ac:dyDescent="0.25">
      <c r="M39" s="34"/>
      <c r="N39" s="34"/>
      <c r="O39" s="34"/>
      <c r="P39" s="34"/>
      <c r="Q39" s="34"/>
      <c r="R39" s="233"/>
      <c r="S39" s="34"/>
      <c r="T39" s="34"/>
      <c r="U39" s="34"/>
      <c r="V39" s="34"/>
      <c r="W39" s="34"/>
      <c r="X39" s="34"/>
      <c r="Z39"/>
    </row>
    <row r="40" spans="13:50" x14ac:dyDescent="0.25">
      <c r="M40" s="34"/>
      <c r="N40" s="34"/>
      <c r="O40" s="34"/>
      <c r="P40" s="34"/>
      <c r="Q40" s="34"/>
      <c r="R40" s="233"/>
      <c r="S40" s="34"/>
      <c r="T40" s="34"/>
      <c r="U40" s="34"/>
      <c r="V40" s="34"/>
      <c r="W40" s="34"/>
      <c r="X40" s="34"/>
      <c r="Z40"/>
    </row>
    <row r="41" spans="13:50" x14ac:dyDescent="0.25">
      <c r="M41" s="34"/>
      <c r="N41" s="34"/>
      <c r="O41" s="34"/>
      <c r="P41" s="34"/>
      <c r="Q41" s="34"/>
      <c r="R41" s="233"/>
      <c r="S41" s="34"/>
      <c r="T41" s="34"/>
      <c r="U41" s="34"/>
      <c r="V41" s="34"/>
      <c r="W41" s="34"/>
      <c r="X41" s="34"/>
      <c r="Z41"/>
    </row>
    <row r="42" spans="13:50" x14ac:dyDescent="0.25">
      <c r="M42" s="34"/>
      <c r="N42" s="34"/>
      <c r="O42" s="34"/>
      <c r="P42" s="34"/>
      <c r="Q42" s="34"/>
      <c r="R42" s="233"/>
      <c r="S42" s="34"/>
      <c r="T42" s="34"/>
      <c r="U42" s="34"/>
      <c r="V42" s="34"/>
      <c r="W42" s="34"/>
      <c r="X42" s="34"/>
      <c r="Z42"/>
    </row>
    <row r="43" spans="13:50" x14ac:dyDescent="0.25">
      <c r="M43" s="34"/>
      <c r="N43" s="34"/>
      <c r="O43" s="34"/>
      <c r="P43" s="34"/>
      <c r="Q43" s="34"/>
      <c r="R43" s="233"/>
      <c r="S43" s="34"/>
      <c r="T43" s="34"/>
      <c r="U43" s="34"/>
      <c r="V43" s="34"/>
      <c r="W43" s="34"/>
      <c r="X43" s="34"/>
      <c r="Z43"/>
    </row>
    <row r="44" spans="13:50" x14ac:dyDescent="0.25">
      <c r="M44"/>
      <c r="T44"/>
      <c r="Z44"/>
    </row>
    <row r="45" spans="13:50" x14ac:dyDescent="0.25">
      <c r="M45"/>
      <c r="T45"/>
      <c r="Z45"/>
    </row>
    <row r="46" spans="13:50" x14ac:dyDescent="0.25">
      <c r="M46"/>
      <c r="T46"/>
      <c r="Z46"/>
    </row>
    <row r="47" spans="13:50" x14ac:dyDescent="0.25">
      <c r="M47"/>
      <c r="T47"/>
      <c r="Z47"/>
    </row>
    <row r="48" spans="13:50" x14ac:dyDescent="0.25">
      <c r="M48"/>
      <c r="T48"/>
      <c r="Z48"/>
      <c r="AM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</row>
    <row r="49" spans="13:50" x14ac:dyDescent="0.25">
      <c r="M49"/>
      <c r="T49"/>
      <c r="Z49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</row>
    <row r="50" spans="13:50" x14ac:dyDescent="0.25">
      <c r="M50"/>
      <c r="T50"/>
      <c r="Z50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</row>
    <row r="51" spans="13:50" x14ac:dyDescent="0.25">
      <c r="M51"/>
      <c r="T51"/>
      <c r="Y51" s="34"/>
      <c r="Z51" s="164"/>
      <c r="AA51" s="34"/>
      <c r="AB51" s="295"/>
      <c r="AC51" s="166"/>
      <c r="AD51" s="166"/>
      <c r="AE51" s="166"/>
      <c r="AF51" s="166"/>
      <c r="AG51" s="171"/>
      <c r="AH51" s="167"/>
      <c r="AI51" s="167"/>
      <c r="AJ51" s="167"/>
      <c r="AK51" s="171"/>
      <c r="AL51" s="171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</row>
    <row r="52" spans="13:50" x14ac:dyDescent="0.25">
      <c r="M52"/>
      <c r="T52"/>
      <c r="W52" s="218"/>
      <c r="Z5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</row>
    <row r="53" spans="13:50" x14ac:dyDescent="0.25">
      <c r="M53"/>
      <c r="T53"/>
      <c r="W53" s="218"/>
      <c r="Z53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</row>
    <row r="54" spans="13:50" x14ac:dyDescent="0.25">
      <c r="M54"/>
      <c r="T54"/>
      <c r="W54" s="218"/>
      <c r="Z5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</row>
    <row r="55" spans="13:50" x14ac:dyDescent="0.25">
      <c r="M55"/>
      <c r="T55"/>
      <c r="W55" s="218"/>
      <c r="Z55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</row>
    <row r="56" spans="13:50" x14ac:dyDescent="0.25">
      <c r="M56"/>
      <c r="T56"/>
      <c r="W56" s="218"/>
      <c r="Z56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</row>
    <row r="57" spans="13:50" x14ac:dyDescent="0.25">
      <c r="M57"/>
      <c r="T57"/>
      <c r="W57" s="218"/>
      <c r="Z57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</row>
    <row r="58" spans="13:50" x14ac:dyDescent="0.25">
      <c r="M58"/>
      <c r="T58"/>
      <c r="W58" s="218"/>
      <c r="Z58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</row>
    <row r="59" spans="13:50" x14ac:dyDescent="0.25">
      <c r="M59"/>
      <c r="T59"/>
      <c r="W59" s="218"/>
      <c r="Z59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</row>
    <row r="60" spans="13:50" x14ac:dyDescent="0.25">
      <c r="M60"/>
      <c r="T60"/>
      <c r="W60" s="218"/>
      <c r="Z60"/>
    </row>
    <row r="61" spans="13:50" x14ac:dyDescent="0.25">
      <c r="M61"/>
      <c r="T61"/>
      <c r="W61" s="218"/>
      <c r="Z61"/>
    </row>
    <row r="62" spans="13:50" x14ac:dyDescent="0.25">
      <c r="M62"/>
      <c r="T62"/>
      <c r="W62" s="218"/>
      <c r="Z62"/>
    </row>
    <row r="63" spans="13:50" x14ac:dyDescent="0.25">
      <c r="M63"/>
      <c r="T63"/>
      <c r="W63" s="218"/>
      <c r="Z63"/>
    </row>
    <row r="64" spans="13:50" x14ac:dyDescent="0.25">
      <c r="M64"/>
      <c r="T64"/>
      <c r="W64" s="218"/>
      <c r="Z64"/>
    </row>
    <row r="65" spans="13:26" x14ac:dyDescent="0.25">
      <c r="M65"/>
      <c r="T65"/>
      <c r="W65" s="218"/>
      <c r="Z65"/>
    </row>
    <row r="66" spans="13:26" x14ac:dyDescent="0.25">
      <c r="M66"/>
      <c r="T66"/>
      <c r="W66" s="218"/>
      <c r="Z66"/>
    </row>
    <row r="67" spans="13:26" x14ac:dyDescent="0.25">
      <c r="M67"/>
      <c r="T67"/>
      <c r="Z67"/>
    </row>
    <row r="68" spans="13:26" x14ac:dyDescent="0.25">
      <c r="M68"/>
      <c r="T68"/>
      <c r="Z68"/>
    </row>
    <row r="69" spans="13:26" x14ac:dyDescent="0.25">
      <c r="M69"/>
      <c r="T69"/>
      <c r="Z69"/>
    </row>
    <row r="70" spans="13:26" x14ac:dyDescent="0.25">
      <c r="M70"/>
      <c r="T70"/>
      <c r="Z70"/>
    </row>
    <row r="71" spans="13:26" x14ac:dyDescent="0.25">
      <c r="M71"/>
      <c r="T71"/>
      <c r="Z71"/>
    </row>
    <row r="72" spans="13:26" x14ac:dyDescent="0.25">
      <c r="M72"/>
      <c r="T72"/>
      <c r="Z72"/>
    </row>
    <row r="73" spans="13:26" x14ac:dyDescent="0.25">
      <c r="M73"/>
      <c r="T73"/>
      <c r="Z73"/>
    </row>
    <row r="74" spans="13:26" x14ac:dyDescent="0.25">
      <c r="M74"/>
      <c r="T74"/>
      <c r="Z74"/>
    </row>
    <row r="75" spans="13:26" x14ac:dyDescent="0.25">
      <c r="M75"/>
      <c r="T75"/>
      <c r="Z75"/>
    </row>
    <row r="76" spans="13:26" x14ac:dyDescent="0.25">
      <c r="M76"/>
      <c r="T76"/>
    </row>
    <row r="77" spans="13:26" x14ac:dyDescent="0.25">
      <c r="M77"/>
      <c r="T77"/>
    </row>
    <row r="78" spans="13:26" x14ac:dyDescent="0.25">
      <c r="M78"/>
      <c r="T78"/>
    </row>
    <row r="79" spans="13:26" x14ac:dyDescent="0.25">
      <c r="M79"/>
      <c r="T79"/>
    </row>
    <row r="80" spans="13:26" x14ac:dyDescent="0.25">
      <c r="M80"/>
      <c r="R80" s="291"/>
      <c r="T80"/>
    </row>
    <row r="81" spans="13:20" x14ac:dyDescent="0.25">
      <c r="M81"/>
      <c r="T81"/>
    </row>
    <row r="82" spans="13:20" x14ac:dyDescent="0.25">
      <c r="M82"/>
      <c r="T82"/>
    </row>
    <row r="83" spans="13:20" x14ac:dyDescent="0.25">
      <c r="M83"/>
      <c r="T83"/>
    </row>
    <row r="84" spans="13:20" x14ac:dyDescent="0.25">
      <c r="M84"/>
      <c r="T84"/>
    </row>
    <row r="85" spans="13:20" x14ac:dyDescent="0.25">
      <c r="M85"/>
      <c r="T85"/>
    </row>
    <row r="86" spans="13:20" x14ac:dyDescent="0.25">
      <c r="M86"/>
      <c r="T86"/>
    </row>
    <row r="87" spans="13:20" x14ac:dyDescent="0.25">
      <c r="M87"/>
      <c r="T87"/>
    </row>
    <row r="88" spans="13:20" x14ac:dyDescent="0.25">
      <c r="M88"/>
      <c r="T88"/>
    </row>
    <row r="89" spans="13:20" x14ac:dyDescent="0.25">
      <c r="M89"/>
      <c r="T89"/>
    </row>
    <row r="90" spans="13:20" x14ac:dyDescent="0.25">
      <c r="M90"/>
      <c r="T90"/>
    </row>
    <row r="91" spans="13:20" x14ac:dyDescent="0.25">
      <c r="M91"/>
      <c r="T91"/>
    </row>
    <row r="92" spans="13:20" x14ac:dyDescent="0.25">
      <c r="M92"/>
      <c r="T92"/>
    </row>
    <row r="93" spans="13:20" x14ac:dyDescent="0.25">
      <c r="M93"/>
      <c r="T93"/>
    </row>
    <row r="94" spans="13:20" x14ac:dyDescent="0.25">
      <c r="M94"/>
      <c r="T94"/>
    </row>
    <row r="98" spans="1:12" x14ac:dyDescent="0.25">
      <c r="A98" s="249"/>
      <c r="B98" s="231"/>
      <c r="C98" s="231"/>
      <c r="D98" s="34"/>
      <c r="E98" s="34"/>
      <c r="F98" s="171"/>
      <c r="G98" s="253"/>
      <c r="H98" s="168"/>
      <c r="I98" s="166"/>
      <c r="J98" s="196"/>
      <c r="K98" s="196"/>
      <c r="L98" s="171"/>
    </row>
    <row r="99" spans="1:12" x14ac:dyDescent="0.25">
      <c r="A99" s="249"/>
      <c r="B99" s="231"/>
      <c r="C99" s="231"/>
      <c r="D99" s="34"/>
      <c r="E99" s="34"/>
      <c r="F99" s="171"/>
      <c r="G99" s="253"/>
      <c r="H99" s="168"/>
      <c r="I99" s="166"/>
      <c r="J99" s="196"/>
      <c r="K99" s="196"/>
      <c r="L99" s="171"/>
    </row>
    <row r="100" spans="1:12" x14ac:dyDescent="0.25">
      <c r="A100" s="249"/>
      <c r="B100" s="231"/>
      <c r="C100" s="231"/>
      <c r="D100" s="34"/>
      <c r="E100" s="34"/>
      <c r="F100" s="171"/>
      <c r="G100" s="253"/>
      <c r="H100" s="168"/>
      <c r="I100" s="166"/>
      <c r="J100" s="196"/>
      <c r="K100" s="196"/>
      <c r="L100" s="171"/>
    </row>
    <row r="101" spans="1:12" x14ac:dyDescent="0.25">
      <c r="A101" s="249"/>
      <c r="B101" s="231"/>
      <c r="C101" s="231"/>
      <c r="D101" s="232"/>
      <c r="E101" s="232"/>
      <c r="F101" s="171"/>
      <c r="G101" s="253"/>
      <c r="H101" s="168"/>
      <c r="I101" s="166"/>
      <c r="J101" s="196"/>
      <c r="K101" s="196"/>
      <c r="L101" s="171"/>
    </row>
    <row r="102" spans="1:12" x14ac:dyDescent="0.25">
      <c r="A102" s="249"/>
      <c r="B102" s="207"/>
      <c r="C102" s="231"/>
      <c r="D102" s="232"/>
      <c r="E102" s="232"/>
      <c r="F102" s="171"/>
      <c r="G102" s="253"/>
      <c r="H102" s="168"/>
      <c r="I102" s="166"/>
      <c r="J102" s="196"/>
      <c r="K102" s="196"/>
      <c r="L102" s="171"/>
    </row>
    <row r="103" spans="1:12" x14ac:dyDescent="0.25">
      <c r="A103" s="249"/>
      <c r="B103" s="207"/>
      <c r="C103" s="231"/>
      <c r="D103" s="171"/>
      <c r="E103" s="171"/>
      <c r="F103" s="171"/>
      <c r="G103" s="253"/>
      <c r="H103" s="168"/>
      <c r="I103" s="166"/>
      <c r="J103" s="196"/>
      <c r="K103" s="196"/>
      <c r="L103" s="171"/>
    </row>
    <row r="104" spans="1:12" x14ac:dyDescent="0.25">
      <c r="A104" s="249"/>
      <c r="B104" s="207"/>
      <c r="C104" s="231"/>
      <c r="D104" s="232"/>
      <c r="E104" s="232"/>
      <c r="F104" s="171"/>
      <c r="G104" s="253"/>
      <c r="H104" s="168"/>
      <c r="I104" s="166"/>
      <c r="J104" s="196"/>
      <c r="K104" s="196"/>
      <c r="L104" s="171"/>
    </row>
    <row r="105" spans="1:12" x14ac:dyDescent="0.25">
      <c r="A105" s="249"/>
      <c r="B105" s="207"/>
      <c r="C105" s="231"/>
      <c r="D105" s="233"/>
      <c r="E105" s="233"/>
      <c r="F105" s="171"/>
      <c r="G105" s="253"/>
      <c r="H105" s="168"/>
      <c r="I105" s="166"/>
      <c r="J105" s="196"/>
      <c r="K105" s="196"/>
      <c r="L105" s="171"/>
    </row>
    <row r="106" spans="1:12" x14ac:dyDescent="0.25">
      <c r="A106" s="249"/>
      <c r="B106" s="207"/>
      <c r="C106" s="231"/>
      <c r="D106" s="233"/>
      <c r="E106" s="233"/>
      <c r="F106" s="171"/>
      <c r="G106" s="253"/>
      <c r="H106" s="168"/>
      <c r="I106" s="166"/>
      <c r="J106" s="196"/>
      <c r="K106" s="196"/>
      <c r="L106" s="171"/>
    </row>
    <row r="107" spans="1:12" x14ac:dyDescent="0.25">
      <c r="A107" s="249"/>
      <c r="B107" s="207"/>
      <c r="C107" s="231"/>
      <c r="D107" s="233"/>
      <c r="E107" s="233"/>
      <c r="F107" s="171"/>
      <c r="G107" s="253"/>
      <c r="H107" s="168"/>
      <c r="I107" s="166"/>
      <c r="J107" s="196"/>
      <c r="K107" s="196"/>
      <c r="L107" s="171"/>
    </row>
    <row r="108" spans="1:12" x14ac:dyDescent="0.25">
      <c r="A108" s="249"/>
      <c r="B108" s="234"/>
      <c r="C108" s="231"/>
      <c r="D108" s="233"/>
      <c r="E108" s="233"/>
      <c r="F108" s="171"/>
      <c r="G108" s="253"/>
      <c r="H108" s="168"/>
      <c r="I108" s="166"/>
      <c r="J108" s="196"/>
      <c r="K108" s="196"/>
      <c r="L108" s="171"/>
    </row>
    <row r="109" spans="1:12" x14ac:dyDescent="0.25">
      <c r="A109" s="249"/>
      <c r="B109" s="234"/>
      <c r="C109" s="231"/>
      <c r="D109" s="233"/>
      <c r="E109" s="233"/>
      <c r="F109" s="171"/>
      <c r="G109" s="253"/>
      <c r="H109" s="168"/>
      <c r="I109" s="166"/>
      <c r="J109" s="196"/>
      <c r="K109" s="196"/>
      <c r="L109" s="171"/>
    </row>
    <row r="110" spans="1:12" x14ac:dyDescent="0.25">
      <c r="A110" s="249"/>
      <c r="B110" s="234"/>
      <c r="C110" s="231"/>
      <c r="D110" s="233"/>
      <c r="E110" s="233"/>
      <c r="F110" s="171"/>
      <c r="G110" s="253"/>
      <c r="H110" s="168"/>
      <c r="I110" s="166"/>
      <c r="J110" s="196"/>
      <c r="K110" s="196"/>
      <c r="L110" s="171"/>
    </row>
    <row r="111" spans="1:12" x14ac:dyDescent="0.25">
      <c r="A111" s="249"/>
      <c r="B111" s="234"/>
      <c r="C111" s="231"/>
      <c r="D111" s="233"/>
      <c r="E111" s="233"/>
      <c r="F111" s="171"/>
      <c r="G111" s="253"/>
      <c r="H111" s="168"/>
      <c r="I111" s="166"/>
      <c r="J111" s="196"/>
      <c r="K111" s="196"/>
      <c r="L111" s="171"/>
    </row>
  </sheetData>
  <sheetProtection sheet="1" objects="1" scenarios="1"/>
  <dataConsolidate/>
  <mergeCells count="4">
    <mergeCell ref="A1:I2"/>
    <mergeCell ref="M1:X2"/>
    <mergeCell ref="Y1:AL2"/>
    <mergeCell ref="AM1:AX2"/>
  </mergeCells>
  <dataValidations count="7">
    <dataValidation type="list" allowBlank="1" showInputMessage="1" showErrorMessage="1" sqref="AD3:AD4">
      <formula1>"N/A"</formula1>
    </dataValidation>
    <dataValidation type="list" allowBlank="1" showInputMessage="1" showErrorMessage="1" sqref="AE51:AF51 I98:I110 H98:H111 AE3 U3:V3 I3 I5:I12 J5:J10 J12">
      <formula1>"UNTESTED,FAIL,PASS"</formula1>
    </dataValidation>
    <dataValidation type="list" allowBlank="1" showInputMessage="1" showErrorMessage="1" sqref="AB51 AB48 AB56">
      <formula1>"PCB-DX3-002"</formula1>
    </dataValidation>
    <dataValidation type="list" operator="equal" allowBlank="1" showInputMessage="1" showErrorMessage="1" sqref="AP63 AE4:AF4 AF3">
      <formula1>"UNTESTED,FAIL"</formula1>
    </dataValidation>
    <dataValidation type="list" allowBlank="1" showInputMessage="1" showErrorMessage="1" sqref="AE48:AE49 K3:K12">
      <formula1>"PCB-A-002,PCB-A-004,PCB-A-006"</formula1>
    </dataValidation>
    <dataValidation type="date" operator="greaterThan" allowBlank="1" showInputMessage="1" showErrorMessage="1" sqref="G131:G142 G98:G111">
      <formula1>36526</formula1>
    </dataValidation>
    <dataValidation type="list" allowBlank="1" showInputMessage="1" showErrorMessage="1" sqref="I111 J3 J11">
      <formula1>"UNTESTED,FAIL"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12</xdr:col>
                    <xdr:colOff>527050</xdr:colOff>
                    <xdr:row>0</xdr:row>
                    <xdr:rowOff>107950</xdr:rowOff>
                  </from>
                  <to>
                    <xdr:col>14</xdr:col>
                    <xdr:colOff>336550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24</xdr:col>
                    <xdr:colOff>450850</xdr:colOff>
                    <xdr:row>0</xdr:row>
                    <xdr:rowOff>76200</xdr:rowOff>
                  </from>
                  <to>
                    <xdr:col>26</xdr:col>
                    <xdr:colOff>298450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38</xdr:col>
                    <xdr:colOff>342900</xdr:colOff>
                    <xdr:row>0</xdr:row>
                    <xdr:rowOff>31750</xdr:rowOff>
                  </from>
                  <to>
                    <xdr:col>39</xdr:col>
                    <xdr:colOff>603250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35</xdr:col>
                    <xdr:colOff>698500</xdr:colOff>
                    <xdr:row>0</xdr:row>
                    <xdr:rowOff>76200</xdr:rowOff>
                  </from>
                  <to>
                    <xdr:col>37</xdr:col>
                    <xdr:colOff>527050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831850</xdr:colOff>
                    <xdr:row>0</xdr:row>
                    <xdr:rowOff>69850</xdr:rowOff>
                  </from>
                  <to>
                    <xdr:col>1</xdr:col>
                    <xdr:colOff>488950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I14" sqref="I14"/>
    </sheetView>
  </sheetViews>
  <sheetFormatPr defaultRowHeight="12.5" x14ac:dyDescent="0.25"/>
  <cols>
    <col min="1" max="1" width="12.1796875" customWidth="1"/>
    <col min="2" max="2" width="17.453125" customWidth="1"/>
    <col min="3" max="5" width="16.1796875" customWidth="1"/>
    <col min="6" max="6" width="10.1796875" customWidth="1"/>
    <col min="7" max="7" width="10.453125" customWidth="1"/>
    <col min="8" max="8" width="10.81640625" customWidth="1"/>
    <col min="9" max="9" width="19.81640625" bestFit="1" customWidth="1"/>
    <col min="10" max="10" width="17.1796875" customWidth="1"/>
    <col min="11" max="12" width="18.81640625" customWidth="1"/>
    <col min="13" max="13" width="14.81640625" customWidth="1"/>
    <col min="14" max="16" width="10.81640625" customWidth="1"/>
    <col min="17" max="17" width="15.1796875" customWidth="1"/>
    <col min="18" max="19" width="11.81640625" customWidth="1"/>
    <col min="20" max="20" width="13.81640625" customWidth="1"/>
    <col min="21" max="21" width="10" customWidth="1"/>
    <col min="22" max="22" width="10" hidden="1" customWidth="1"/>
    <col min="23" max="24" width="10.1796875" customWidth="1"/>
    <col min="25" max="25" width="10.1796875" hidden="1" customWidth="1"/>
    <col min="26" max="26" width="16.453125" customWidth="1"/>
    <col min="27" max="27" width="13.1796875" customWidth="1"/>
    <col min="28" max="28" width="15.81640625" customWidth="1"/>
    <col min="29" max="29" width="15" customWidth="1"/>
    <col min="30" max="30" width="15.1796875" customWidth="1"/>
    <col min="31" max="31" width="14.81640625" customWidth="1"/>
    <col min="32" max="34" width="9.81640625" customWidth="1"/>
    <col min="35" max="35" width="10.1796875" customWidth="1"/>
    <col min="36" max="37" width="8.81640625" customWidth="1"/>
    <col min="38" max="38" width="8.81640625" hidden="1" customWidth="1"/>
    <col min="39" max="39" width="11.453125" customWidth="1"/>
    <col min="40" max="41" width="10.453125" customWidth="1"/>
    <col min="42" max="42" width="10.81640625" customWidth="1"/>
    <col min="43" max="43" width="10" customWidth="1"/>
    <col min="44" max="44" width="12.81640625" customWidth="1"/>
    <col min="45" max="45" width="10" customWidth="1"/>
    <col min="46" max="46" width="9.453125" customWidth="1"/>
    <col min="48" max="48" width="10.1796875" customWidth="1"/>
    <col min="49" max="49" width="10" customWidth="1"/>
    <col min="51" max="51" width="14.54296875" customWidth="1"/>
    <col min="52" max="52" width="13.1796875" customWidth="1"/>
    <col min="53" max="53" width="11.81640625" customWidth="1"/>
    <col min="54" max="54" width="16.81640625" customWidth="1"/>
    <col min="55" max="55" width="13.1796875" customWidth="1"/>
    <col min="56" max="56" width="13.81640625" customWidth="1"/>
    <col min="57" max="57" width="14.81640625" customWidth="1"/>
  </cols>
  <sheetData>
    <row r="1" spans="1:57" ht="34.5" customHeight="1" x14ac:dyDescent="0.25">
      <c r="A1" s="328" t="s">
        <v>1610</v>
      </c>
      <c r="B1" s="329"/>
      <c r="C1" s="329"/>
      <c r="D1" s="329"/>
      <c r="E1" s="329"/>
      <c r="F1" s="329"/>
      <c r="G1" s="329"/>
      <c r="H1" s="330"/>
      <c r="I1" s="334" t="s">
        <v>1619</v>
      </c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  <c r="Z1" s="334"/>
      <c r="AA1" s="334"/>
      <c r="AB1" s="334"/>
      <c r="AC1" s="334"/>
      <c r="AD1" s="334"/>
      <c r="AE1" s="334"/>
      <c r="AF1" s="334"/>
      <c r="AG1" s="334"/>
      <c r="AH1" s="334"/>
      <c r="AI1" s="334"/>
      <c r="AJ1" s="335" t="s">
        <v>1632</v>
      </c>
      <c r="AK1" s="336"/>
      <c r="AL1" s="336"/>
      <c r="AM1" s="337"/>
      <c r="AN1" s="337"/>
      <c r="AO1" s="337"/>
      <c r="AP1" s="337"/>
      <c r="AQ1" s="338"/>
      <c r="AR1" s="342" t="s">
        <v>1634</v>
      </c>
      <c r="AS1" s="343"/>
      <c r="AT1" s="343"/>
      <c r="AU1" s="343"/>
      <c r="AV1" s="343"/>
      <c r="AW1" s="343"/>
      <c r="AX1" s="343"/>
      <c r="AY1" s="343"/>
      <c r="AZ1" s="343"/>
      <c r="BA1" s="343"/>
      <c r="BB1" s="344"/>
      <c r="BC1" s="318" t="s">
        <v>1612</v>
      </c>
      <c r="BD1" s="318"/>
      <c r="BE1" s="318"/>
    </row>
    <row r="2" spans="1:57" ht="25.5" customHeight="1" x14ac:dyDescent="0.25">
      <c r="A2" s="331"/>
      <c r="B2" s="332"/>
      <c r="C2" s="332"/>
      <c r="D2" s="332"/>
      <c r="E2" s="332"/>
      <c r="F2" s="332"/>
      <c r="G2" s="332"/>
      <c r="H2" s="333"/>
      <c r="I2" s="322" t="s">
        <v>1617</v>
      </c>
      <c r="J2" s="323"/>
      <c r="K2" s="323"/>
      <c r="L2" s="323"/>
      <c r="M2" s="323"/>
      <c r="N2" s="323"/>
      <c r="O2" s="324"/>
      <c r="P2" s="325" t="s">
        <v>1616</v>
      </c>
      <c r="Q2" s="326"/>
      <c r="R2" s="326"/>
      <c r="S2" s="326"/>
      <c r="T2" s="326"/>
      <c r="U2" s="326"/>
      <c r="V2" s="327"/>
      <c r="W2" s="319" t="s">
        <v>1635</v>
      </c>
      <c r="X2" s="320"/>
      <c r="Y2" s="320"/>
      <c r="Z2" s="320"/>
      <c r="AA2" s="320"/>
      <c r="AB2" s="320"/>
      <c r="AC2" s="320"/>
      <c r="AD2" s="320"/>
      <c r="AE2" s="320"/>
      <c r="AF2" s="320"/>
      <c r="AG2" s="320"/>
      <c r="AH2" s="320"/>
      <c r="AI2" s="321"/>
      <c r="AJ2" s="339"/>
      <c r="AK2" s="340"/>
      <c r="AL2" s="340"/>
      <c r="AM2" s="340"/>
      <c r="AN2" s="340"/>
      <c r="AO2" s="340"/>
      <c r="AP2" s="340"/>
      <c r="AQ2" s="341"/>
      <c r="AR2" s="345"/>
      <c r="AS2" s="346"/>
      <c r="AT2" s="346"/>
      <c r="AU2" s="346"/>
      <c r="AV2" s="346"/>
      <c r="AW2" s="346"/>
      <c r="AX2" s="346"/>
      <c r="AY2" s="346"/>
      <c r="AZ2" s="346"/>
      <c r="BA2" s="346"/>
      <c r="BB2" s="347"/>
      <c r="BC2" s="318"/>
      <c r="BD2" s="318"/>
      <c r="BE2" s="318"/>
    </row>
    <row r="3" spans="1:57" s="6" customFormat="1" ht="39" x14ac:dyDescent="0.25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1647</v>
      </c>
      <c r="AH3" s="129" t="s">
        <v>1646</v>
      </c>
      <c r="AI3" s="129" t="s">
        <v>1645</v>
      </c>
      <c r="AJ3" s="130" t="s">
        <v>1629</v>
      </c>
      <c r="AK3" s="130" t="s">
        <v>1637</v>
      </c>
      <c r="AL3" s="130" t="s">
        <v>1644</v>
      </c>
      <c r="AM3" s="130" t="s">
        <v>1614</v>
      </c>
      <c r="AN3" s="130" t="s">
        <v>1628</v>
      </c>
      <c r="AO3" s="130" t="s">
        <v>1648</v>
      </c>
      <c r="AP3" s="130" t="s">
        <v>1649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5">
      <c r="A4" s="187"/>
      <c r="B4" s="186"/>
      <c r="C4" s="186"/>
      <c r="D4" s="185">
        <f>IF(AND(COUNTIF('VB3'!$AM$4:$AM$4,C4)=1,VB3_PCB[[#This Row],[QAI0001]]="PASS",VB3_PCB[[#This Row],[TP0066]]="PASS"),1,0)</f>
        <v>0</v>
      </c>
      <c r="E4" s="188"/>
      <c r="F4" s="185" t="s">
        <v>1643</v>
      </c>
      <c r="G4" s="185" t="s">
        <v>1643</v>
      </c>
      <c r="H4" s="180" t="str">
        <f t="shared" ref="H4:H9" si="0">IF(G4="PASS",IF(D4=0,IF(D4="","",C4),""),"")</f>
        <v/>
      </c>
      <c r="I4" s="191"/>
      <c r="J4" s="180"/>
      <c r="K4" s="192"/>
      <c r="L4" s="181">
        <f>IF(AND(COUNTIF('VB3'!$AD$4:$AD$4,M4)=1,VB3_Castings[[#This Row],[QAI0002]]="PASS"),1,0)</f>
        <v>0</v>
      </c>
      <c r="M4" s="193"/>
      <c r="N4" s="183" t="s">
        <v>1643</v>
      </c>
      <c r="O4" s="180" t="str">
        <f>IF(N4="PASS",IF(L4=0,IF(L4="","",M4),""),"")</f>
        <v/>
      </c>
      <c r="P4" s="191"/>
      <c r="Q4" s="193"/>
      <c r="R4" s="192"/>
      <c r="S4" s="181">
        <f>IF(AND(COUNTIF('VB3'!$AE$4:$AE$4,T4)=1,VB3_Wellglass[[#This Row],[QAI0003]]="PASS"),1,0)</f>
        <v>0</v>
      </c>
      <c r="T4" s="180"/>
      <c r="U4" s="183" t="s">
        <v>1643</v>
      </c>
      <c r="V4" s="181" t="str">
        <f>IF(U4="PASS",IF(S4=0,IF(S4="","",T4),""),"")</f>
        <v/>
      </c>
      <c r="W4" s="180"/>
      <c r="X4" s="194">
        <f>IF(AND(COUNTIF('VB3'!$AN$4:$AN$4,W4)=1,VB3_Preassembly[[#This Row],[TP0065 Result]]="PASS"),1,0)</f>
        <v>0</v>
      </c>
      <c r="Y4" s="195" t="str">
        <f>IF(AI4="PASS",IF(X4=0,IF(X4="","",W4),""),"")</f>
        <v/>
      </c>
      <c r="Z4" s="183"/>
      <c r="AA4" s="183"/>
      <c r="AB4" s="183"/>
      <c r="AC4" s="183"/>
      <c r="AD4" s="183"/>
      <c r="AE4" s="183"/>
      <c r="AF4" s="183"/>
      <c r="AG4" s="183"/>
      <c r="AH4" s="183"/>
      <c r="AI4" s="183" t="s">
        <v>1643</v>
      </c>
      <c r="AJ4" s="193"/>
      <c r="AK4" s="180">
        <f>IF(AND(COUNTIF('VB3'!$AS$4:$AS$4,AJ4)=1,VB3_Generic_Assembly[[#This Row],[TP0067]]="PASS",VB3_Generic_Assembly[[#This Row],[TP0069]]="PASS",VB3_Generic_Assembly[[#This Row],[QAI0004]]="PASS"),1,0)</f>
        <v>0</v>
      </c>
      <c r="AL4" s="183" t="str">
        <f>IF(AQ4="PASS",IF(AK4=0,IF(AK4="","",AJ4),""),"")</f>
        <v/>
      </c>
      <c r="AM4" s="183"/>
      <c r="AN4" s="183"/>
      <c r="AO4" s="184" t="s">
        <v>1643</v>
      </c>
      <c r="AP4" s="183" t="s">
        <v>1643</v>
      </c>
      <c r="AQ4" s="183" t="s">
        <v>1643</v>
      </c>
      <c r="AR4" s="142"/>
      <c r="AS4" s="142"/>
      <c r="AT4" s="142"/>
      <c r="AU4" s="142"/>
      <c r="AV4" s="142" t="s">
        <v>1643</v>
      </c>
      <c r="AW4" s="142" t="s">
        <v>1643</v>
      </c>
      <c r="BA4" s="142"/>
      <c r="BB4" s="142"/>
      <c r="BC4" s="142"/>
      <c r="BD4" s="142"/>
      <c r="BE4" s="142"/>
    </row>
    <row r="5" spans="1:57" x14ac:dyDescent="0.25">
      <c r="A5" s="212">
        <v>43568</v>
      </c>
      <c r="B5" s="199">
        <v>123456</v>
      </c>
      <c r="C5" s="199">
        <v>456</v>
      </c>
      <c r="D5" s="213">
        <f>IF(AND(COUNTIF('VB3'!$AM$4:$AM$4,C5)=1,VB3_PCB[[#This Row],[QAI0001]]="PASS",VB3_PCB[[#This Row],[TP0066]]="PASS"),1,0)</f>
        <v>0</v>
      </c>
      <c r="E5" s="214">
        <v>43790</v>
      </c>
      <c r="F5" s="200" t="s">
        <v>1641</v>
      </c>
      <c r="G5" s="200" t="s">
        <v>1641</v>
      </c>
      <c r="H5" s="198">
        <f t="shared" si="0"/>
        <v>456</v>
      </c>
      <c r="I5" s="203"/>
      <c r="J5" s="34"/>
      <c r="K5" s="204"/>
      <c r="L5" s="171"/>
      <c r="M5" s="66"/>
      <c r="N5" s="166"/>
      <c r="O5" s="171"/>
      <c r="P5" s="203"/>
      <c r="Q5" s="66"/>
      <c r="R5" s="204"/>
      <c r="S5" s="171"/>
      <c r="T5" s="34"/>
      <c r="U5" s="166"/>
      <c r="V5" s="171"/>
      <c r="W5" s="34"/>
      <c r="X5" s="205"/>
      <c r="Y5" s="206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5">
      <c r="A6" s="189">
        <v>43568</v>
      </c>
      <c r="B6" s="174">
        <v>123456</v>
      </c>
      <c r="C6" s="174" t="s">
        <v>1699</v>
      </c>
      <c r="D6" s="175">
        <f>IF(AND(COUNTIF('VB3'!$AM$4:$AM$4,C6)=1,VB3_PCB[[#This Row],[QAI0001]]="PASS",VB3_PCB[[#This Row],[TP0066]]="PASS"),1,0)</f>
        <v>0</v>
      </c>
      <c r="E6" s="190">
        <v>43790</v>
      </c>
      <c r="F6" s="173" t="s">
        <v>1641</v>
      </c>
      <c r="G6" s="173" t="s">
        <v>1642</v>
      </c>
      <c r="H6" s="172" t="str">
        <f t="shared" si="0"/>
        <v/>
      </c>
      <c r="I6" s="203"/>
      <c r="J6" s="34"/>
      <c r="K6" s="204"/>
      <c r="L6" s="171"/>
      <c r="M6" s="66"/>
      <c r="N6" s="166"/>
      <c r="O6" s="171"/>
      <c r="P6" s="203"/>
      <c r="Q6" s="66"/>
      <c r="R6" s="204"/>
      <c r="S6" s="171"/>
      <c r="T6" s="34"/>
      <c r="U6" s="166"/>
      <c r="V6" s="171"/>
      <c r="W6" s="34"/>
      <c r="X6" s="205"/>
      <c r="Y6" s="20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5">
      <c r="A7" s="212">
        <v>43568</v>
      </c>
      <c r="B7" s="199">
        <v>123456</v>
      </c>
      <c r="C7" s="199" t="s">
        <v>1700</v>
      </c>
      <c r="D7" s="213">
        <f>IF(AND(COUNTIF('VB3'!$AM$4:$AM$4,C7)=1,VB3_PCB[[#This Row],[QAI0001]]="PASS",VB3_PCB[[#This Row],[TP0066]]="PASS"),1,0)</f>
        <v>0</v>
      </c>
      <c r="E7" s="214">
        <v>43790</v>
      </c>
      <c r="F7" s="200" t="s">
        <v>1641</v>
      </c>
      <c r="G7" s="200" t="s">
        <v>1641</v>
      </c>
      <c r="H7" s="198" t="str">
        <f t="shared" si="0"/>
        <v>JBKOJ</v>
      </c>
      <c r="I7" s="203"/>
      <c r="J7" s="34"/>
      <c r="K7" s="204"/>
      <c r="L7" s="171"/>
      <c r="M7" s="66"/>
      <c r="N7" s="166"/>
      <c r="O7" s="171"/>
      <c r="P7" s="203"/>
      <c r="Q7" s="66"/>
      <c r="R7" s="204"/>
      <c r="S7" s="171"/>
      <c r="T7" s="34"/>
      <c r="U7" s="166"/>
      <c r="V7" s="171"/>
      <c r="W7" s="34"/>
      <c r="X7" s="205"/>
      <c r="Y7" s="206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5">
      <c r="A8" s="212">
        <v>43568</v>
      </c>
      <c r="B8" s="199">
        <v>123456</v>
      </c>
      <c r="C8" s="199" t="s">
        <v>1701</v>
      </c>
      <c r="D8" s="213">
        <f>IF(AND(COUNTIF('VB3'!$AM$4:$AM$4,C8)=1,VB3_PCB[[#This Row],[QAI0001]]="PASS",VB3_PCB[[#This Row],[TP0066]]="PASS"),1,0)</f>
        <v>0</v>
      </c>
      <c r="E8" s="214">
        <v>43790</v>
      </c>
      <c r="F8" s="200" t="s">
        <v>1641</v>
      </c>
      <c r="G8" s="200" t="s">
        <v>1641</v>
      </c>
      <c r="H8" s="198" t="str">
        <f t="shared" si="0"/>
        <v>OT-0</v>
      </c>
      <c r="I8" s="203"/>
      <c r="J8" s="34"/>
      <c r="K8" s="204"/>
      <c r="L8" s="171"/>
      <c r="M8" s="66"/>
      <c r="N8" s="166"/>
      <c r="O8" s="171"/>
      <c r="P8" s="203"/>
      <c r="Q8" s="66"/>
      <c r="R8" s="204"/>
      <c r="S8" s="171"/>
      <c r="T8" s="34"/>
      <c r="U8" s="166"/>
      <c r="V8" s="171"/>
      <c r="W8" s="34"/>
      <c r="X8" s="205"/>
      <c r="Y8" s="206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5">
      <c r="A9" s="212">
        <v>43568</v>
      </c>
      <c r="B9" s="199">
        <v>123456</v>
      </c>
      <c r="C9" s="199" t="s">
        <v>1702</v>
      </c>
      <c r="D9" s="213">
        <f>IF(AND(COUNTIF('VB3'!$AM$4:$AM$4,C9)=1,VB3_PCB[[#This Row],[QAI0001]]="PASS",VB3_PCB[[#This Row],[TP0066]]="PASS"),1,0)</f>
        <v>0</v>
      </c>
      <c r="E9" s="214">
        <v>43790</v>
      </c>
      <c r="F9" s="200" t="s">
        <v>1641</v>
      </c>
      <c r="G9" s="200" t="s">
        <v>1641</v>
      </c>
      <c r="H9" s="198" t="str">
        <f t="shared" si="0"/>
        <v>JVD</v>
      </c>
      <c r="I9" s="203"/>
      <c r="J9" s="34"/>
      <c r="K9" s="204"/>
      <c r="L9" s="171"/>
      <c r="M9" s="66"/>
      <c r="N9" s="166"/>
      <c r="O9" s="171"/>
      <c r="P9" s="203"/>
      <c r="Q9" s="66"/>
      <c r="R9" s="204"/>
      <c r="S9" s="171"/>
      <c r="T9" s="34"/>
      <c r="U9" s="166"/>
      <c r="V9" s="171"/>
      <c r="W9" s="34"/>
      <c r="X9" s="205"/>
      <c r="Y9" s="207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5">
      <c r="A10" s="201"/>
      <c r="B10" s="197"/>
      <c r="C10" s="197"/>
      <c r="D10" s="196"/>
      <c r="E10" s="202"/>
      <c r="F10" s="166"/>
      <c r="G10" s="166"/>
      <c r="H10" s="171"/>
      <c r="I10" s="203"/>
      <c r="J10" s="34"/>
      <c r="K10" s="204"/>
      <c r="L10" s="171"/>
      <c r="M10" s="66"/>
      <c r="N10" s="166"/>
      <c r="O10" s="171"/>
      <c r="P10" s="203"/>
      <c r="Q10" s="66"/>
      <c r="R10" s="204"/>
      <c r="S10" s="171"/>
      <c r="T10" s="34"/>
      <c r="U10" s="166"/>
      <c r="V10" s="171"/>
      <c r="W10" s="34"/>
      <c r="X10" s="205"/>
      <c r="Y10" s="207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5">
      <c r="A11" s="201"/>
      <c r="B11" s="197"/>
      <c r="C11" s="197"/>
      <c r="D11" s="196"/>
      <c r="E11" s="202"/>
      <c r="F11" s="166"/>
      <c r="G11" s="166"/>
      <c r="H11" s="171"/>
      <c r="I11" s="203"/>
      <c r="J11" s="34"/>
      <c r="K11" s="202"/>
      <c r="L11" s="171"/>
      <c r="M11" s="66"/>
      <c r="N11" s="166"/>
      <c r="O11" s="171"/>
      <c r="P11" s="203"/>
      <c r="Q11" s="66"/>
      <c r="R11" s="204"/>
      <c r="S11" s="171"/>
      <c r="T11" s="34"/>
      <c r="U11" s="166"/>
      <c r="V11" s="171"/>
      <c r="W11" s="34"/>
      <c r="X11" s="205"/>
      <c r="Y11" s="207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5">
      <c r="A12" s="201"/>
      <c r="B12" s="197"/>
      <c r="C12" s="197"/>
      <c r="D12" s="196"/>
      <c r="E12" s="202"/>
      <c r="F12" s="166"/>
      <c r="G12" s="166"/>
      <c r="H12" s="171"/>
      <c r="I12" s="203"/>
      <c r="J12" s="34"/>
      <c r="K12" s="204"/>
      <c r="L12" s="171"/>
      <c r="M12" s="66"/>
      <c r="N12" s="166"/>
      <c r="O12" s="171"/>
      <c r="P12" s="203"/>
      <c r="Q12" s="66"/>
      <c r="R12" s="202"/>
      <c r="S12" s="171"/>
      <c r="T12" s="34"/>
      <c r="U12" s="166"/>
      <c r="V12" s="171"/>
      <c r="W12" s="34"/>
      <c r="X12" s="205"/>
      <c r="Y12" s="207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ht="13" x14ac:dyDescent="0.3">
      <c r="A13" s="201"/>
      <c r="B13" s="197"/>
      <c r="C13" s="197"/>
      <c r="D13" s="196"/>
      <c r="E13" s="202"/>
      <c r="F13" s="166"/>
      <c r="G13" s="166"/>
      <c r="H13" s="171"/>
      <c r="I13" s="203"/>
      <c r="J13" s="34"/>
      <c r="K13" s="204"/>
      <c r="L13" s="171"/>
      <c r="M13" s="66"/>
      <c r="N13" s="166"/>
      <c r="O13" s="171"/>
      <c r="P13" s="203"/>
      <c r="Q13" s="66"/>
      <c r="R13" s="204"/>
      <c r="S13" s="171"/>
      <c r="T13" s="169"/>
      <c r="U13" s="166"/>
      <c r="V13" s="171"/>
      <c r="W13" s="34"/>
      <c r="X13" s="205"/>
      <c r="Y13" s="207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ht="13" x14ac:dyDescent="0.3">
      <c r="A14" s="201"/>
      <c r="B14" s="197"/>
      <c r="C14" s="197"/>
      <c r="D14" s="196"/>
      <c r="E14" s="202"/>
      <c r="F14" s="166"/>
      <c r="G14" s="166"/>
      <c r="H14" s="171"/>
      <c r="I14" s="203"/>
      <c r="J14" s="34"/>
      <c r="K14" s="202"/>
      <c r="L14" s="171"/>
      <c r="M14" s="169"/>
      <c r="N14" s="166"/>
      <c r="O14" s="171"/>
      <c r="P14" s="203"/>
      <c r="Q14" s="66"/>
      <c r="R14" s="204"/>
      <c r="S14" s="171"/>
      <c r="T14" s="34"/>
      <c r="U14" s="166"/>
      <c r="V14" s="171"/>
      <c r="W14" s="34"/>
      <c r="X14" s="205"/>
      <c r="Y14" s="207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5">
      <c r="A15" s="201"/>
      <c r="B15" s="197"/>
      <c r="C15" s="197"/>
      <c r="D15" s="196"/>
      <c r="E15" s="202"/>
      <c r="F15" s="166"/>
      <c r="G15" s="166"/>
      <c r="H15" s="171"/>
      <c r="I15" s="203"/>
      <c r="J15" s="34"/>
      <c r="K15" s="204"/>
      <c r="L15" s="171"/>
      <c r="M15" s="66"/>
      <c r="N15" s="166"/>
      <c r="O15" s="171"/>
      <c r="P15" s="203"/>
      <c r="Q15" s="66"/>
      <c r="R15" s="204"/>
      <c r="S15" s="171"/>
      <c r="T15" s="34"/>
      <c r="U15" s="166"/>
      <c r="V15" s="171"/>
      <c r="W15" s="34"/>
      <c r="X15" s="205"/>
      <c r="Y15" s="207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5">
      <c r="A16" s="201"/>
      <c r="B16" s="197"/>
      <c r="C16" s="197"/>
      <c r="D16" s="196"/>
      <c r="E16" s="202"/>
      <c r="F16" s="166"/>
      <c r="G16" s="166"/>
      <c r="H16" s="171"/>
      <c r="I16" s="203"/>
      <c r="J16" s="34"/>
      <c r="K16" s="204"/>
      <c r="L16" s="171"/>
      <c r="M16" s="66"/>
      <c r="N16" s="166"/>
      <c r="O16" s="171"/>
      <c r="P16" s="203"/>
      <c r="Q16" s="66"/>
      <c r="R16" s="204"/>
      <c r="S16" s="171"/>
      <c r="T16" s="34"/>
      <c r="U16" s="166"/>
      <c r="V16" s="171"/>
      <c r="W16" s="34"/>
      <c r="X16" s="205"/>
      <c r="Y16" s="207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5">
      <c r="A17" s="201"/>
      <c r="B17" s="197"/>
      <c r="C17" s="197"/>
      <c r="D17" s="196"/>
      <c r="E17" s="202"/>
      <c r="F17" s="166"/>
      <c r="G17" s="166"/>
      <c r="H17" s="171"/>
      <c r="I17" s="203"/>
      <c r="J17" s="34"/>
      <c r="K17" s="204"/>
      <c r="L17" s="171"/>
      <c r="M17" s="66"/>
      <c r="N17" s="166"/>
      <c r="O17" s="171"/>
      <c r="P17" s="203"/>
      <c r="Q17" s="66"/>
      <c r="R17" s="204"/>
      <c r="S17" s="171"/>
      <c r="T17" s="34"/>
      <c r="U17" s="166"/>
      <c r="V17" s="171"/>
      <c r="W17" s="34"/>
      <c r="X17" s="205"/>
      <c r="Y17" s="207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ht="13" x14ac:dyDescent="0.3">
      <c r="A18" s="201"/>
      <c r="B18" s="197"/>
      <c r="C18" s="208"/>
      <c r="D18" s="196"/>
      <c r="E18" s="202"/>
      <c r="F18" s="166"/>
      <c r="G18" s="170"/>
      <c r="H18" s="171"/>
      <c r="I18" s="203"/>
      <c r="J18" s="34"/>
      <c r="K18" s="204"/>
      <c r="L18" s="171"/>
      <c r="M18" s="169"/>
      <c r="N18" s="166"/>
      <c r="O18" s="171"/>
      <c r="P18" s="203"/>
      <c r="Q18" s="66"/>
      <c r="R18" s="204"/>
      <c r="S18" s="171"/>
      <c r="T18" s="34"/>
      <c r="U18" s="166"/>
      <c r="V18" s="171"/>
      <c r="W18" s="34"/>
      <c r="X18" s="205"/>
      <c r="Y18" s="207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ht="13" x14ac:dyDescent="0.3">
      <c r="A19" s="201"/>
      <c r="B19" s="197"/>
      <c r="C19" s="208"/>
      <c r="D19" s="196"/>
      <c r="E19" s="202"/>
      <c r="F19" s="170"/>
      <c r="G19" s="170"/>
      <c r="H19" s="171"/>
      <c r="I19" s="203"/>
      <c r="J19" s="34"/>
      <c r="K19" s="204"/>
      <c r="L19" s="171"/>
      <c r="M19" s="66"/>
      <c r="N19" s="166"/>
      <c r="O19" s="171"/>
      <c r="P19" s="203"/>
      <c r="Q19" s="66"/>
      <c r="R19" s="204"/>
      <c r="S19" s="171"/>
      <c r="T19" s="34"/>
      <c r="U19" s="166"/>
      <c r="V19" s="171"/>
      <c r="W19" s="34"/>
      <c r="X19" s="205"/>
      <c r="Y19" s="207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5">
      <c r="A20" s="201"/>
      <c r="B20" s="197"/>
      <c r="C20" s="197"/>
      <c r="D20" s="196"/>
      <c r="E20" s="202"/>
      <c r="F20" s="34"/>
      <c r="G20" s="166"/>
      <c r="H20" s="171"/>
      <c r="I20" s="203"/>
      <c r="J20" s="34"/>
      <c r="K20" s="204"/>
      <c r="L20" s="171"/>
      <c r="M20" s="66"/>
      <c r="N20" s="166"/>
      <c r="O20" s="171"/>
      <c r="P20" s="203"/>
      <c r="Q20" s="66"/>
      <c r="R20" s="204"/>
      <c r="S20" s="171"/>
      <c r="T20" s="34"/>
      <c r="U20" s="166"/>
      <c r="V20" s="171"/>
      <c r="W20" s="34"/>
      <c r="X20" s="205"/>
      <c r="Y20" s="207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5">
      <c r="A21" s="201"/>
      <c r="B21" s="197"/>
      <c r="C21" s="197"/>
      <c r="D21" s="196"/>
      <c r="E21" s="202"/>
      <c r="F21" s="166"/>
      <c r="G21" s="166"/>
      <c r="H21" s="171"/>
      <c r="I21" s="203"/>
      <c r="J21" s="34"/>
      <c r="K21" s="204"/>
      <c r="L21" s="171"/>
      <c r="M21" s="66"/>
      <c r="N21" s="166"/>
      <c r="O21" s="171"/>
      <c r="P21" s="203"/>
      <c r="Q21" s="66"/>
      <c r="R21" s="204"/>
      <c r="S21" s="171"/>
      <c r="T21" s="34"/>
      <c r="U21" s="166"/>
      <c r="V21" s="171"/>
      <c r="W21" s="34"/>
      <c r="X21" s="205"/>
      <c r="Y21" s="207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5">
      <c r="A22" s="201"/>
      <c r="B22" s="197"/>
      <c r="C22" s="197"/>
      <c r="D22" s="196"/>
      <c r="E22" s="202"/>
      <c r="F22" s="34"/>
      <c r="G22" s="166"/>
      <c r="H22" s="171"/>
      <c r="I22" s="203"/>
      <c r="J22" s="34"/>
      <c r="K22" s="204"/>
      <c r="L22" s="171"/>
      <c r="M22" s="66"/>
      <c r="N22" s="166"/>
      <c r="O22" s="171"/>
      <c r="P22" s="203"/>
      <c r="Q22" s="66"/>
      <c r="R22" s="204"/>
      <c r="S22" s="171"/>
      <c r="T22" s="34"/>
      <c r="U22" s="166"/>
      <c r="V22" s="171"/>
      <c r="W22" s="34"/>
      <c r="X22" s="205"/>
      <c r="Y22" s="207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5">
      <c r="A23" s="201"/>
      <c r="B23" s="197"/>
      <c r="C23" s="197"/>
      <c r="D23" s="196"/>
      <c r="E23" s="202"/>
      <c r="F23" s="34"/>
      <c r="G23" s="166"/>
      <c r="H23" s="171"/>
      <c r="I23" s="203"/>
      <c r="J23" s="34"/>
      <c r="K23" s="204"/>
      <c r="L23" s="171"/>
      <c r="M23" s="66"/>
      <c r="N23" s="166"/>
      <c r="O23" s="171"/>
      <c r="P23" s="203"/>
      <c r="Q23" s="66"/>
      <c r="R23" s="204"/>
      <c r="S23" s="171"/>
      <c r="T23" s="34"/>
      <c r="U23" s="166"/>
      <c r="V23" s="171"/>
      <c r="W23" s="34"/>
      <c r="X23" s="205"/>
      <c r="Y23" s="207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5">
      <c r="A24" s="201"/>
      <c r="B24" s="197"/>
      <c r="C24" s="197"/>
      <c r="D24" s="196"/>
      <c r="E24" s="202"/>
      <c r="F24" s="166"/>
      <c r="G24" s="166"/>
      <c r="H24" s="171"/>
      <c r="I24" s="203"/>
      <c r="J24" s="34"/>
      <c r="K24" s="204"/>
      <c r="L24" s="171"/>
      <c r="M24" s="66"/>
      <c r="N24" s="166"/>
      <c r="O24" s="171"/>
      <c r="P24" s="203"/>
      <c r="Q24" s="66"/>
      <c r="R24" s="204"/>
      <c r="S24" s="171"/>
      <c r="T24" s="34"/>
      <c r="U24" s="166"/>
      <c r="V24" s="171"/>
      <c r="W24" s="34"/>
      <c r="X24" s="205"/>
      <c r="Y24" s="207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5">
      <c r="A25" s="201"/>
      <c r="B25" s="197"/>
      <c r="C25" s="197"/>
      <c r="D25" s="196"/>
      <c r="E25" s="202"/>
      <c r="F25" s="166"/>
      <c r="G25" s="166"/>
      <c r="H25" s="171"/>
      <c r="I25" s="203"/>
      <c r="J25" s="34"/>
      <c r="K25" s="204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5"/>
      <c r="Y25" s="207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5">
      <c r="A26" s="201"/>
      <c r="B26" s="197"/>
      <c r="C26" s="197"/>
      <c r="D26" s="196"/>
      <c r="E26" s="202"/>
      <c r="F26" s="166"/>
      <c r="G26" s="166"/>
      <c r="H26" s="171"/>
      <c r="I26" s="203"/>
      <c r="J26" s="34"/>
      <c r="K26" s="204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5"/>
      <c r="Y26" s="207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5">
      <c r="A27" s="201"/>
      <c r="B27" s="197"/>
      <c r="C27" s="197"/>
      <c r="D27" s="196"/>
      <c r="E27" s="202"/>
      <c r="F27" s="166"/>
      <c r="G27" s="166"/>
      <c r="H27" s="171"/>
      <c r="I27" s="203"/>
      <c r="J27" s="34"/>
      <c r="K27" s="204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5"/>
      <c r="Y27" s="207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5">
      <c r="A28" s="201"/>
      <c r="B28" s="197"/>
      <c r="C28" s="197"/>
      <c r="D28" s="196"/>
      <c r="E28" s="202"/>
      <c r="F28" s="166"/>
      <c r="G28" s="166"/>
      <c r="H28" s="171"/>
      <c r="I28" s="203"/>
      <c r="J28" s="34"/>
      <c r="K28" s="204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5"/>
      <c r="Y28" s="207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5">
      <c r="A29" s="201"/>
      <c r="B29" s="197"/>
      <c r="C29" s="197"/>
      <c r="D29" s="196"/>
      <c r="E29" s="202"/>
      <c r="F29" s="166"/>
      <c r="G29" s="166"/>
      <c r="H29" s="171"/>
      <c r="I29" s="203"/>
      <c r="J29" s="34"/>
      <c r="K29" s="204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5"/>
      <c r="Y29" s="205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5">
      <c r="A30" s="209"/>
      <c r="B30" s="197"/>
      <c r="C30" s="197"/>
      <c r="D30" s="196"/>
      <c r="E30" s="202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5"/>
      <c r="Y30" s="205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ht="13" x14ac:dyDescent="0.3">
      <c r="A31" s="209"/>
      <c r="B31" s="197"/>
      <c r="C31" s="208"/>
      <c r="D31" s="196"/>
      <c r="E31" s="202"/>
      <c r="F31" s="197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5"/>
      <c r="Y31" s="205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5">
      <c r="A32" s="209"/>
      <c r="B32" s="197"/>
      <c r="C32" s="197"/>
      <c r="D32" s="196"/>
      <c r="E32" s="202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5"/>
      <c r="Y32" s="205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5">
      <c r="A33" s="209"/>
      <c r="B33" s="197"/>
      <c r="C33" s="197"/>
      <c r="D33" s="196"/>
      <c r="E33" s="202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5"/>
      <c r="Y33" s="205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5">
      <c r="A34" s="209"/>
      <c r="B34" s="197"/>
      <c r="C34" s="197"/>
      <c r="D34" s="196"/>
      <c r="E34" s="202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5"/>
      <c r="Y34" s="205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5">
      <c r="A35" s="209"/>
      <c r="B35" s="197"/>
      <c r="C35" s="197"/>
      <c r="D35" s="196"/>
      <c r="E35" s="202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5"/>
      <c r="Y35" s="205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5">
      <c r="A36" s="209"/>
      <c r="B36" s="197"/>
      <c r="C36" s="197"/>
      <c r="D36" s="196"/>
      <c r="E36" s="202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5"/>
      <c r="Y36" s="205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5">
      <c r="A37" s="209"/>
      <c r="B37" s="197"/>
      <c r="C37" s="197"/>
      <c r="D37" s="196"/>
      <c r="E37" s="202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5"/>
      <c r="Y37" s="205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5">
      <c r="A38" s="209"/>
      <c r="B38" s="197"/>
      <c r="C38" s="197"/>
      <c r="D38" s="196"/>
      <c r="E38" s="202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5"/>
      <c r="Y38" s="205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ht="13" x14ac:dyDescent="0.3">
      <c r="A39" s="209"/>
      <c r="B39" s="197"/>
      <c r="C39" s="208"/>
      <c r="D39" s="196"/>
      <c r="E39" s="202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5"/>
      <c r="Y39" s="205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5">
      <c r="A40" s="201"/>
      <c r="B40" s="197"/>
      <c r="C40" s="197"/>
      <c r="D40" s="196"/>
      <c r="E40" s="202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5"/>
      <c r="Y40" s="205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5">
      <c r="A41" s="201"/>
      <c r="B41" s="197"/>
      <c r="C41" s="197"/>
      <c r="D41" s="196"/>
      <c r="E41" s="202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5"/>
      <c r="Y41" s="205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ht="13" x14ac:dyDescent="0.3">
      <c r="A42" s="201"/>
      <c r="B42" s="197"/>
      <c r="C42" s="208"/>
      <c r="D42" s="196"/>
      <c r="E42" s="202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5"/>
      <c r="Y42" s="205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ht="13" x14ac:dyDescent="0.3">
      <c r="A43" s="201"/>
      <c r="B43" s="197"/>
      <c r="C43" s="208"/>
      <c r="D43" s="196"/>
      <c r="E43" s="202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5"/>
      <c r="Y43" s="205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ht="13" x14ac:dyDescent="0.3">
      <c r="A44" s="201"/>
      <c r="B44" s="197"/>
      <c r="C44" s="208"/>
      <c r="D44" s="196"/>
      <c r="E44" s="202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5"/>
      <c r="Y44" s="205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5">
      <c r="A45" s="209"/>
      <c r="B45" s="197"/>
      <c r="C45" s="197"/>
      <c r="D45" s="196"/>
      <c r="E45" s="202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5"/>
      <c r="Y45" s="205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5">
      <c r="A46" s="201"/>
      <c r="B46" s="197"/>
      <c r="C46" s="197"/>
      <c r="D46" s="196"/>
      <c r="E46" s="202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5"/>
      <c r="Y46" s="205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5">
      <c r="A47" s="201"/>
      <c r="B47" s="197"/>
      <c r="C47" s="197"/>
      <c r="D47" s="196"/>
      <c r="E47" s="202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5"/>
      <c r="Y47" s="205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5">
      <c r="A48" s="201"/>
      <c r="B48" s="197"/>
      <c r="C48" s="197"/>
      <c r="D48" s="196"/>
      <c r="E48" s="202"/>
      <c r="F48" s="166"/>
      <c r="G48" s="166"/>
      <c r="H48" s="171"/>
      <c r="I48" s="211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5"/>
      <c r="Y48" s="205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5">
      <c r="A49" s="210"/>
      <c r="B49" s="197"/>
      <c r="C49" s="197"/>
      <c r="D49" s="196"/>
      <c r="E49" s="202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5"/>
      <c r="Y49" s="205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5">
      <c r="A50" s="210"/>
      <c r="B50" s="197"/>
      <c r="C50" s="197"/>
      <c r="D50" s="196"/>
      <c r="E50" s="202"/>
      <c r="F50" s="166"/>
      <c r="G50" s="166"/>
      <c r="H50" s="171"/>
      <c r="X50" s="152"/>
      <c r="Y50" s="152"/>
    </row>
    <row r="51" spans="1:57" x14ac:dyDescent="0.25">
      <c r="A51" s="210"/>
      <c r="B51" s="197"/>
      <c r="C51" s="197"/>
      <c r="D51" s="196"/>
      <c r="E51" s="202"/>
      <c r="F51" s="166"/>
      <c r="G51" s="166"/>
      <c r="H51" s="171"/>
      <c r="X51" s="152"/>
      <c r="Y51" s="152"/>
    </row>
    <row r="52" spans="1:57" x14ac:dyDescent="0.25">
      <c r="A52" s="210"/>
      <c r="B52" s="197"/>
      <c r="C52" s="197"/>
      <c r="D52" s="196"/>
      <c r="E52" s="202"/>
      <c r="F52" s="166"/>
      <c r="G52" s="166"/>
      <c r="H52" s="171"/>
      <c r="X52" s="152"/>
      <c r="Y52" s="152"/>
    </row>
    <row r="53" spans="1:57" x14ac:dyDescent="0.25">
      <c r="A53" s="210"/>
      <c r="B53" s="197"/>
      <c r="C53" s="197"/>
      <c r="D53" s="196"/>
      <c r="E53" s="202"/>
      <c r="F53" s="166"/>
      <c r="G53" s="166"/>
      <c r="H53" s="171"/>
      <c r="X53" s="152"/>
      <c r="Y53" s="152"/>
    </row>
    <row r="54" spans="1:57" x14ac:dyDescent="0.25">
      <c r="A54" s="210"/>
      <c r="B54" s="197"/>
      <c r="C54" s="197"/>
      <c r="D54" s="196"/>
      <c r="E54" s="202"/>
      <c r="F54" s="166"/>
      <c r="G54" s="166"/>
      <c r="H54" s="171"/>
      <c r="X54" s="152"/>
      <c r="Y54" s="152"/>
    </row>
    <row r="55" spans="1:57" x14ac:dyDescent="0.25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5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5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5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5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5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5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5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5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5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5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5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5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5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5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5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5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5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5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5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5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5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5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5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5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5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5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5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5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5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5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5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5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5">
      <c r="A88" s="150"/>
      <c r="B88" s="146"/>
      <c r="C88" s="146"/>
      <c r="D88" s="147"/>
      <c r="E88" s="151"/>
      <c r="F88" s="142"/>
      <c r="G88" s="142"/>
      <c r="H88" s="138"/>
    </row>
    <row r="89" spans="1:8" x14ac:dyDescent="0.25">
      <c r="A89" s="150"/>
      <c r="B89" s="146"/>
      <c r="C89" s="146"/>
      <c r="D89" s="147"/>
      <c r="E89" s="151"/>
      <c r="F89" s="142"/>
      <c r="G89" s="142"/>
      <c r="H89" s="138"/>
    </row>
    <row r="90" spans="1:8" x14ac:dyDescent="0.25">
      <c r="A90" s="150"/>
      <c r="B90" s="146"/>
      <c r="C90" s="146"/>
      <c r="D90" s="147"/>
      <c r="E90" s="151"/>
      <c r="F90" s="142"/>
      <c r="G90" s="142"/>
      <c r="H90" s="138"/>
    </row>
    <row r="91" spans="1:8" x14ac:dyDescent="0.25">
      <c r="A91" s="150"/>
      <c r="B91" s="146"/>
      <c r="C91" s="146"/>
      <c r="D91" s="147"/>
      <c r="E91" s="151"/>
      <c r="F91" s="142"/>
      <c r="G91" s="142"/>
      <c r="H91" s="138"/>
    </row>
    <row r="92" spans="1:8" ht="13" x14ac:dyDescent="0.3">
      <c r="A92" s="150"/>
      <c r="B92" s="146"/>
      <c r="C92" s="149"/>
      <c r="D92" s="147"/>
      <c r="E92" s="151"/>
      <c r="F92" s="142"/>
      <c r="G92" s="142"/>
      <c r="H92" s="138"/>
    </row>
    <row r="93" spans="1:8" ht="13" x14ac:dyDescent="0.3">
      <c r="A93" s="150"/>
      <c r="B93" s="146"/>
      <c r="C93" s="149"/>
      <c r="D93" s="147"/>
      <c r="E93" s="151"/>
      <c r="F93" s="142"/>
      <c r="G93" s="142"/>
      <c r="H93" s="138"/>
    </row>
    <row r="94" spans="1:8" x14ac:dyDescent="0.25">
      <c r="A94" s="150"/>
      <c r="B94" s="146"/>
      <c r="C94" s="146"/>
      <c r="D94" s="147"/>
      <c r="E94" s="151"/>
      <c r="F94" s="142"/>
      <c r="G94" s="142"/>
      <c r="H94" s="138"/>
    </row>
    <row r="95" spans="1:8" ht="13" x14ac:dyDescent="0.3">
      <c r="A95" s="150"/>
      <c r="B95" s="146"/>
      <c r="C95" s="149"/>
      <c r="D95" s="147"/>
      <c r="E95" s="151"/>
      <c r="F95" s="142"/>
      <c r="G95" s="142"/>
      <c r="H95" s="138"/>
    </row>
    <row r="96" spans="1:8" x14ac:dyDescent="0.25">
      <c r="A96" s="150"/>
      <c r="B96" s="146"/>
      <c r="C96" s="146"/>
      <c r="D96" s="147"/>
      <c r="E96" s="151"/>
      <c r="F96" s="142"/>
      <c r="G96" s="142"/>
      <c r="H96" s="138"/>
    </row>
    <row r="97" spans="1:8" x14ac:dyDescent="0.25">
      <c r="A97" s="150"/>
      <c r="B97" s="146"/>
      <c r="C97" s="146"/>
      <c r="D97" s="147"/>
      <c r="E97" s="151"/>
      <c r="F97" s="142"/>
      <c r="G97" s="142"/>
      <c r="H97" s="138"/>
    </row>
    <row r="98" spans="1:8" x14ac:dyDescent="0.25">
      <c r="A98" s="150"/>
      <c r="B98" s="146"/>
      <c r="C98" s="146"/>
      <c r="D98" s="147"/>
      <c r="E98" s="151"/>
      <c r="F98" s="142"/>
      <c r="G98" s="142"/>
      <c r="H98" s="138"/>
    </row>
    <row r="99" spans="1:8" x14ac:dyDescent="0.25">
      <c r="A99" s="150"/>
      <c r="B99" s="146"/>
      <c r="C99" s="146"/>
      <c r="D99" s="147"/>
      <c r="E99" s="151"/>
      <c r="F99" s="142"/>
      <c r="G99" s="142"/>
      <c r="H99" s="138"/>
    </row>
    <row r="100" spans="1:8" x14ac:dyDescent="0.25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5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5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5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5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5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5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5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5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5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5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5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5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5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5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5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5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5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5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5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5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5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5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5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5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5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5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5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5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5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5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5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5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5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5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5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5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5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5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5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5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5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5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5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5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5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5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5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5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5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5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5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5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5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5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5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5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5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5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5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5">
      <c r="D160" s="138"/>
      <c r="F160" s="144"/>
      <c r="H160" s="138" t="str">
        <f t="shared" si="5"/>
        <v/>
      </c>
    </row>
    <row r="161" spans="4:7" x14ac:dyDescent="0.25">
      <c r="D161" s="144"/>
      <c r="E161" s="144"/>
    </row>
    <row r="164" spans="4:7" x14ac:dyDescent="0.25">
      <c r="D164" s="144"/>
      <c r="E164" s="144"/>
      <c r="F164" s="144"/>
      <c r="G164" s="144"/>
    </row>
    <row r="165" spans="4:7" x14ac:dyDescent="0.25">
      <c r="D165" s="144"/>
      <c r="F165" s="144"/>
    </row>
    <row r="166" spans="4:7" x14ac:dyDescent="0.25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9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  <dataValidation type="list" allowBlank="1" showInputMessage="1" showErrorMessage="1" sqref="AI27:AI31 AV4:AW4">
      <formula1>$D$12:$D$14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203200</xdr:colOff>
                    <xdr:row>0</xdr:row>
                    <xdr:rowOff>241300</xdr:rowOff>
                  </from>
                  <to>
                    <xdr:col>1</xdr:col>
                    <xdr:colOff>1022350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107950</xdr:rowOff>
                  </from>
                  <to>
                    <xdr:col>9</xdr:col>
                    <xdr:colOff>393700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107950</xdr:colOff>
                    <xdr:row>0</xdr:row>
                    <xdr:rowOff>69850</xdr:rowOff>
                  </from>
                  <to>
                    <xdr:col>16</xdr:col>
                    <xdr:colOff>355600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88900</xdr:rowOff>
                  </from>
                  <to>
                    <xdr:col>23</xdr:col>
                    <xdr:colOff>679450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260350</xdr:rowOff>
                  </from>
                  <to>
                    <xdr:col>38</xdr:col>
                    <xdr:colOff>393700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241300</xdr:rowOff>
                  </from>
                  <to>
                    <xdr:col>45</xdr:col>
                    <xdr:colOff>279400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Automation!#REF!</xm:f>
          </x14:formula1>
          <xm:sqref>AI33:AI39</xm:sqref>
        </x14:dataValidation>
        <x14:dataValidation type="list" allowBlank="1" showInputMessage="1" showErrorMessage="1">
          <x14:formula1>
            <xm:f>Automation!$F$8:$F$8</xm:f>
          </x14:formula1>
          <xm:sqref>AT4</xm:sqref>
        </x14:dataValidation>
        <x14:dataValidation type="list" allowBlank="1" showInputMessage="1" showErrorMessage="1">
          <x14:formula1>
            <xm:f>Automation!$H$8:$H$8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W146"/>
  <sheetViews>
    <sheetView tabSelected="1" zoomScaleNormal="100" workbookViewId="0">
      <selection activeCell="D15" sqref="D15"/>
    </sheetView>
  </sheetViews>
  <sheetFormatPr defaultColWidth="8.7265625" defaultRowHeight="12.5" x14ac:dyDescent="0.25"/>
  <cols>
    <col min="1" max="1" width="15.54296875" style="218" customWidth="1"/>
    <col min="2" max="2" width="19.453125" style="218" customWidth="1"/>
    <col min="3" max="4" width="15.54296875" style="218" customWidth="1"/>
    <col min="5" max="5" width="18.90625" style="218" customWidth="1"/>
    <col min="6" max="9" width="15.54296875" style="218" customWidth="1"/>
    <col min="10" max="10" width="18.81640625" style="218" customWidth="1"/>
    <col min="11" max="24" width="15.54296875" style="218" hidden="1" customWidth="1"/>
    <col min="25" max="27" width="15.54296875" style="218" customWidth="1"/>
    <col min="28" max="28" width="17.453125" style="218" customWidth="1"/>
    <col min="29" max="49" width="15.54296875" style="218" customWidth="1"/>
    <col min="50" max="16384" width="8.7265625" style="218"/>
  </cols>
  <sheetData>
    <row r="1" spans="1:49" ht="13" x14ac:dyDescent="0.25">
      <c r="A1" s="348" t="s">
        <v>1677</v>
      </c>
      <c r="B1" s="348"/>
      <c r="C1" s="348"/>
      <c r="D1" s="348"/>
      <c r="E1" s="348"/>
      <c r="F1" s="348"/>
      <c r="G1" s="348"/>
      <c r="H1" s="348"/>
      <c r="I1" s="348"/>
      <c r="J1" s="348"/>
      <c r="K1" s="269"/>
      <c r="L1" s="349" t="s">
        <v>1688</v>
      </c>
      <c r="M1" s="349"/>
      <c r="N1" s="349"/>
      <c r="O1" s="349"/>
      <c r="P1" s="349"/>
      <c r="Q1" s="349"/>
      <c r="R1" s="349"/>
      <c r="S1" s="349"/>
      <c r="T1" s="349"/>
      <c r="U1" s="349"/>
      <c r="V1" s="349"/>
      <c r="W1" s="349"/>
      <c r="X1" s="349"/>
      <c r="Y1" s="350" t="s">
        <v>1707</v>
      </c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0"/>
      <c r="AK1" s="350"/>
      <c r="AL1" s="351" t="s">
        <v>1694</v>
      </c>
      <c r="AM1" s="351"/>
      <c r="AN1" s="351"/>
      <c r="AO1" s="351"/>
      <c r="AP1" s="351"/>
      <c r="AQ1" s="351"/>
      <c r="AR1" s="351"/>
      <c r="AS1" s="351"/>
      <c r="AT1" s="351"/>
      <c r="AU1" s="351"/>
      <c r="AV1" s="351"/>
      <c r="AW1" s="351"/>
    </row>
    <row r="2" spans="1:49" ht="13" x14ac:dyDescent="0.25">
      <c r="A2" s="348"/>
      <c r="B2" s="348"/>
      <c r="C2" s="348"/>
      <c r="D2" s="348"/>
      <c r="E2" s="348"/>
      <c r="F2" s="348"/>
      <c r="G2" s="348"/>
      <c r="H2" s="348"/>
      <c r="I2" s="348"/>
      <c r="J2" s="348"/>
      <c r="K2" s="269"/>
      <c r="L2" s="349"/>
      <c r="M2" s="349"/>
      <c r="N2" s="349"/>
      <c r="O2" s="349"/>
      <c r="P2" s="349"/>
      <c r="Q2" s="349"/>
      <c r="R2" s="349"/>
      <c r="S2" s="349"/>
      <c r="T2" s="349"/>
      <c r="U2" s="349"/>
      <c r="V2" s="349"/>
      <c r="W2" s="349"/>
      <c r="X2" s="349"/>
      <c r="Y2" s="350"/>
      <c r="Z2" s="350"/>
      <c r="AA2" s="350"/>
      <c r="AB2" s="350"/>
      <c r="AC2" s="350"/>
      <c r="AD2" s="350"/>
      <c r="AE2" s="350"/>
      <c r="AF2" s="350"/>
      <c r="AG2" s="350"/>
      <c r="AH2" s="350"/>
      <c r="AI2" s="350"/>
      <c r="AJ2" s="350"/>
      <c r="AK2" s="350"/>
      <c r="AL2" s="351"/>
      <c r="AM2" s="351"/>
      <c r="AN2" s="351"/>
      <c r="AO2" s="351"/>
      <c r="AP2" s="351"/>
      <c r="AQ2" s="351"/>
      <c r="AR2" s="351"/>
      <c r="AS2" s="351"/>
      <c r="AT2" s="351"/>
      <c r="AU2" s="351"/>
      <c r="AV2" s="351"/>
      <c r="AW2" s="351"/>
    </row>
    <row r="3" spans="1:49" ht="33" customHeight="1" x14ac:dyDescent="0.25">
      <c r="A3" s="255" t="s">
        <v>692</v>
      </c>
      <c r="B3" s="255" t="s">
        <v>1706</v>
      </c>
      <c r="C3" s="256" t="s">
        <v>1804</v>
      </c>
      <c r="D3" s="256" t="s">
        <v>1805</v>
      </c>
      <c r="E3" s="255" t="s">
        <v>2</v>
      </c>
      <c r="F3" s="255" t="s">
        <v>1637</v>
      </c>
      <c r="G3" s="255" t="s">
        <v>1613</v>
      </c>
      <c r="H3" s="256" t="s">
        <v>1678</v>
      </c>
      <c r="I3" s="256" t="s">
        <v>1679</v>
      </c>
      <c r="J3" s="256" t="s">
        <v>1644</v>
      </c>
      <c r="K3" s="256"/>
      <c r="L3" s="257" t="s">
        <v>692</v>
      </c>
      <c r="M3" s="258" t="s">
        <v>693</v>
      </c>
      <c r="N3" s="257" t="s">
        <v>1680</v>
      </c>
      <c r="O3" s="257" t="s">
        <v>1652</v>
      </c>
      <c r="P3" s="257" t="s">
        <v>1637</v>
      </c>
      <c r="Q3" s="258" t="s">
        <v>1613</v>
      </c>
      <c r="R3" s="259" t="s">
        <v>1681</v>
      </c>
      <c r="S3" s="259" t="s">
        <v>1682</v>
      </c>
      <c r="T3" s="259" t="s">
        <v>1683</v>
      </c>
      <c r="U3" s="259" t="s">
        <v>1684</v>
      </c>
      <c r="V3" s="259" t="s">
        <v>1685</v>
      </c>
      <c r="W3" s="259" t="s">
        <v>1686</v>
      </c>
      <c r="X3" s="259" t="s">
        <v>1687</v>
      </c>
      <c r="Y3" s="260" t="s">
        <v>1657</v>
      </c>
      <c r="Z3" s="220" t="s">
        <v>1695</v>
      </c>
      <c r="AA3" s="260" t="s">
        <v>1652</v>
      </c>
      <c r="AB3" s="260" t="s">
        <v>1689</v>
      </c>
      <c r="AC3" s="260" t="s">
        <v>1690</v>
      </c>
      <c r="AD3" s="220" t="s">
        <v>1681</v>
      </c>
      <c r="AE3" s="220" t="s">
        <v>1637</v>
      </c>
      <c r="AF3" s="220" t="s">
        <v>1697</v>
      </c>
      <c r="AG3" s="220" t="s">
        <v>1683</v>
      </c>
      <c r="AH3" s="220" t="s">
        <v>1684</v>
      </c>
      <c r="AI3" s="220" t="s">
        <v>1685</v>
      </c>
      <c r="AJ3" s="220" t="s">
        <v>1686</v>
      </c>
      <c r="AK3" s="220" t="s">
        <v>1687</v>
      </c>
      <c r="AL3" s="227" t="s">
        <v>1705</v>
      </c>
      <c r="AM3" s="227" t="s">
        <v>1696</v>
      </c>
      <c r="AN3" s="228" t="s">
        <v>1652</v>
      </c>
      <c r="AO3" s="228" t="s">
        <v>1691</v>
      </c>
      <c r="AP3" s="228" t="s">
        <v>1692</v>
      </c>
      <c r="AQ3" s="228" t="s">
        <v>1693</v>
      </c>
      <c r="AR3" s="228" t="s">
        <v>1622</v>
      </c>
      <c r="AS3" s="229" t="s">
        <v>5</v>
      </c>
      <c r="AT3" s="229" t="s">
        <v>1615</v>
      </c>
      <c r="AU3" s="229" t="s">
        <v>194</v>
      </c>
      <c r="AV3" s="229" t="s">
        <v>195</v>
      </c>
      <c r="AW3" s="227" t="s">
        <v>6</v>
      </c>
    </row>
    <row r="4" spans="1:49" x14ac:dyDescent="0.25">
      <c r="A4" s="185"/>
      <c r="B4" s="185"/>
      <c r="C4" s="185"/>
      <c r="D4" s="185"/>
      <c r="E4" s="185"/>
      <c r="F4" s="185">
        <f>IF(COUNTIFS(VAP01_Assembly[VAP100B SN],VAP100B[[#This Row],[Sub-contractor Serial Number]])=1,IF(AND(VAP100B[[#This Row],[QAI0010]]="PASS",VAP100B[[#This Row],[TP0041]]="PASS"),1,0),0)</f>
        <v>0</v>
      </c>
      <c r="G4" s="183"/>
      <c r="H4" s="183"/>
      <c r="I4" s="183"/>
      <c r="J4" s="185" t="str">
        <f>IF(AND(VAP100B[[#This Row],[QAI0010]]="PASS",VAP100B[[#This Row],[TP0041]]="PASS",VAP100B[[#This Row],[Assigned]]=0),VAP100B[[#This Row],[Sub-contractor Serial Number]],"")</f>
        <v/>
      </c>
      <c r="K4" s="185"/>
      <c r="Y4" s="185"/>
      <c r="Z4" s="185"/>
      <c r="AA4" s="185"/>
      <c r="AB4" s="183"/>
      <c r="AC4" s="183"/>
      <c r="AD4" s="183"/>
      <c r="AE4" s="185">
        <f>IF(AND(COUNTIF(VAP01_Destination[VAP01 ID], VAP01_Assembly[[#This Row],[ID]])=1,VAP01_Assembly[[#This Row],[TP0016]]="PASS",VAP01_Assembly[[#This Row],[QAI0011]]="PASS"),1,0)</f>
        <v>0</v>
      </c>
      <c r="AF4" s="185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5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5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185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4" s="185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4" s="185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4" s="224">
        <v>0</v>
      </c>
      <c r="AM4" s="224"/>
      <c r="AN4" s="225"/>
      <c r="AO4" s="225"/>
      <c r="AP4" s="225"/>
      <c r="AQ4" s="225"/>
      <c r="AR4" s="225"/>
      <c r="AS4" s="239"/>
      <c r="AT4" s="226"/>
      <c r="AU4" s="226"/>
      <c r="AV4" s="226"/>
      <c r="AW4" s="226"/>
    </row>
    <row r="5" spans="1:49" x14ac:dyDescent="0.25">
      <c r="A5" s="261">
        <v>43818</v>
      </c>
      <c r="B5" s="200">
        <v>109281</v>
      </c>
      <c r="C5" s="200"/>
      <c r="D5" s="200"/>
      <c r="E5" s="200" t="s">
        <v>1794</v>
      </c>
      <c r="F5" s="200">
        <f>IF(COUNTIFS(VAP01_Assembly[VAP100B SN],VAP100B[[#This Row],[Sub-contractor Serial Number]])=1,IF(AND(VAP100B[[#This Row],[QAI0010]]="PASS",VAP100B[[#This Row],[TP0041]]="PASS"),1,0),0)</f>
        <v>0</v>
      </c>
      <c r="G5" s="244">
        <v>44124</v>
      </c>
      <c r="H5" s="200" t="s">
        <v>1641</v>
      </c>
      <c r="I5" s="200" t="s">
        <v>1641</v>
      </c>
      <c r="J5" s="213" t="str">
        <f>IF(AND(VAP100B[[#This Row],[QAI0010]]="PASS",VAP100B[[#This Row],[TP0041]]="PASS",VAP100B[[#This Row],[Assigned]]=0),VAP100B[[#This Row],[Sub-contractor Serial Number]],"")</f>
        <v>QZ/834104/1119/AB</v>
      </c>
      <c r="AL5"/>
      <c r="AM5"/>
      <c r="AN5"/>
      <c r="AO5"/>
      <c r="AP5"/>
      <c r="AQ5"/>
      <c r="AR5"/>
      <c r="AS5"/>
      <c r="AT5"/>
      <c r="AU5"/>
      <c r="AV5"/>
      <c r="AW5"/>
    </row>
    <row r="6" spans="1:49" x14ac:dyDescent="0.25">
      <c r="A6" s="261">
        <v>36892</v>
      </c>
      <c r="B6" s="200">
        <v>123</v>
      </c>
      <c r="C6" s="200">
        <v>5000</v>
      </c>
      <c r="D6" s="200"/>
      <c r="E6" s="200" t="s">
        <v>1806</v>
      </c>
      <c r="F6" s="200">
        <f>IF(COUNTIFS(VAP01_Assembly[VAP100B SN],VAP100B[[#This Row],[Sub-contractor Serial Number]])=1,IF(AND(VAP100B[[#This Row],[QAI0010]]="PASS",VAP100B[[#This Row],[TP0041]]="PASS"),1,0),0)</f>
        <v>0</v>
      </c>
      <c r="G6" s="244">
        <v>36892</v>
      </c>
      <c r="H6" s="200" t="s">
        <v>1641</v>
      </c>
      <c r="I6" s="200" t="s">
        <v>1641</v>
      </c>
      <c r="J6" s="213" t="str">
        <f>IF(AND(VAP100B[[#This Row],[QAI0010]]="PASS",VAP100B[[#This Row],[TP0041]]="PASS",VAP100B[[#This Row],[Assigned]]=0),VAP100B[[#This Row],[Sub-contractor Serial Number]],"")</f>
        <v>PCB-221001</v>
      </c>
      <c r="AL6"/>
      <c r="AM6"/>
      <c r="AN6"/>
      <c r="AO6"/>
      <c r="AP6"/>
      <c r="AQ6"/>
      <c r="AR6"/>
      <c r="AS6"/>
      <c r="AT6"/>
      <c r="AU6"/>
      <c r="AV6"/>
      <c r="AW6"/>
    </row>
    <row r="7" spans="1:49" x14ac:dyDescent="0.25">
      <c r="A7" s="263">
        <v>36892</v>
      </c>
      <c r="B7" s="185">
        <v>123</v>
      </c>
      <c r="C7" s="185">
        <v>5000</v>
      </c>
      <c r="D7" s="185"/>
      <c r="E7" s="185" t="s">
        <v>1807</v>
      </c>
      <c r="F7" s="185">
        <f>IF(COUNTIFS(VAP01_Assembly[VAP100B SN],VAP100B[[#This Row],[Sub-contractor Serial Number]])=1,IF(AND(VAP100B[[#This Row],[QAI0010]]="PASS",VAP100B[[#This Row],[TP0041]]="PASS"),1,0),0)</f>
        <v>0</v>
      </c>
      <c r="G7" s="182"/>
      <c r="H7" s="183" t="s">
        <v>1643</v>
      </c>
      <c r="I7" s="183" t="s">
        <v>1643</v>
      </c>
      <c r="J7" s="230" t="str">
        <f>IF(AND(VAP100B[[#This Row],[QAI0010]]="PASS",VAP100B[[#This Row],[TP0041]]="PASS",VAP100B[[#This Row],[Assigned]]=0),VAP100B[[#This Row],[Sub-contractor Serial Number]],"")</f>
        <v/>
      </c>
      <c r="AL7"/>
      <c r="AM7"/>
      <c r="AN7"/>
      <c r="AO7"/>
      <c r="AP7"/>
      <c r="AQ7"/>
      <c r="AR7"/>
      <c r="AS7"/>
      <c r="AT7"/>
      <c r="AU7"/>
      <c r="AV7"/>
      <c r="AW7"/>
    </row>
    <row r="8" spans="1:49" x14ac:dyDescent="0.25">
      <c r="A8" s="263">
        <v>36892</v>
      </c>
      <c r="B8" s="185">
        <v>123</v>
      </c>
      <c r="C8" s="185">
        <v>1111</v>
      </c>
      <c r="D8" s="185"/>
      <c r="E8" s="185" t="s">
        <v>1826</v>
      </c>
      <c r="F8" s="185">
        <f>IF(COUNTIFS(VAP01_Assembly[VAP100B SN],VAP100B[[#This Row],[Sub-contractor Serial Number]])=1,IF(AND(VAP100B[[#This Row],[QAI0010]]="PASS",VAP100B[[#This Row],[TP0041]]="PASS"),1,0),0)</f>
        <v>0</v>
      </c>
      <c r="G8" s="182"/>
      <c r="H8" s="183" t="s">
        <v>1643</v>
      </c>
      <c r="I8" s="183" t="s">
        <v>1643</v>
      </c>
      <c r="J8" s="230" t="str">
        <f>IF(AND(VAP100B[[#This Row],[QAI0010]]="PASS",VAP100B[[#This Row],[TP0041]]="PASS",VAP100B[[#This Row],[Assigned]]=0),VAP100B[[#This Row],[Sub-contractor Serial Number]],"")</f>
        <v/>
      </c>
      <c r="AL8"/>
      <c r="AM8"/>
      <c r="AN8"/>
      <c r="AO8"/>
      <c r="AP8"/>
      <c r="AQ8"/>
      <c r="AR8"/>
      <c r="AS8"/>
      <c r="AT8"/>
      <c r="AU8"/>
      <c r="AV8"/>
      <c r="AW8"/>
    </row>
    <row r="9" spans="1:49" x14ac:dyDescent="0.25">
      <c r="A9" s="263">
        <v>36892</v>
      </c>
      <c r="B9" s="185">
        <v>123</v>
      </c>
      <c r="C9" s="185">
        <v>1111</v>
      </c>
      <c r="D9" s="185"/>
      <c r="E9" s="185" t="s">
        <v>1835</v>
      </c>
      <c r="F9" s="185">
        <f>IF(COUNTIFS(VAP01_Assembly[VAP100B SN],VAP100B[[#This Row],[Sub-contractor Serial Number]])=1,IF(AND(VAP100B[[#This Row],[QAI0010]]="PASS",VAP100B[[#This Row],[TP0041]]="PASS"),1,0),0)</f>
        <v>0</v>
      </c>
      <c r="G9" s="182"/>
      <c r="H9" s="183" t="s">
        <v>1643</v>
      </c>
      <c r="I9" s="183" t="s">
        <v>1643</v>
      </c>
      <c r="J9" s="230" t="str">
        <f>IF(AND(VAP100B[[#This Row],[QAI0010]]="PASS",VAP100B[[#This Row],[TP0041]]="PASS",VAP100B[[#This Row],[Assigned]]=0),VAP100B[[#This Row],[Sub-contractor Serial Number]],"")</f>
        <v/>
      </c>
      <c r="AL9"/>
      <c r="AM9"/>
      <c r="AN9"/>
      <c r="AO9"/>
      <c r="AP9"/>
      <c r="AQ9"/>
      <c r="AR9"/>
      <c r="AS9"/>
      <c r="AT9"/>
      <c r="AU9"/>
      <c r="AV9"/>
      <c r="AW9"/>
    </row>
    <row r="10" spans="1:49" x14ac:dyDescent="0.25">
      <c r="A10"/>
      <c r="B10"/>
      <c r="C10"/>
      <c r="D10"/>
      <c r="E10"/>
      <c r="F10"/>
      <c r="G10"/>
      <c r="H10"/>
      <c r="I10"/>
      <c r="J10"/>
      <c r="AL10"/>
      <c r="AM10"/>
      <c r="AN10"/>
      <c r="AO10"/>
      <c r="AP10"/>
      <c r="AQ10"/>
      <c r="AR10"/>
      <c r="AS10"/>
      <c r="AT10"/>
      <c r="AU10"/>
      <c r="AV10"/>
      <c r="AW10"/>
    </row>
    <row r="11" spans="1:49" x14ac:dyDescent="0.25">
      <c r="A11"/>
      <c r="B11"/>
      <c r="C11"/>
      <c r="D11"/>
      <c r="E11"/>
      <c r="F11"/>
      <c r="G11"/>
      <c r="H11"/>
      <c r="I11"/>
      <c r="J11"/>
    </row>
    <row r="12" spans="1:49" x14ac:dyDescent="0.25">
      <c r="A12"/>
      <c r="B12"/>
      <c r="C12"/>
      <c r="D12"/>
      <c r="E12"/>
      <c r="F12"/>
      <c r="G12"/>
      <c r="H12"/>
      <c r="I12"/>
      <c r="J12"/>
    </row>
    <row r="13" spans="1:49" x14ac:dyDescent="0.25">
      <c r="A13"/>
      <c r="B13"/>
      <c r="C13"/>
      <c r="D13"/>
      <c r="E13"/>
      <c r="F13"/>
      <c r="G13"/>
      <c r="H13"/>
      <c r="I13"/>
      <c r="J13"/>
    </row>
    <row r="14" spans="1:49" x14ac:dyDescent="0.25">
      <c r="A14"/>
      <c r="B14"/>
      <c r="C14"/>
      <c r="D14"/>
      <c r="E14"/>
      <c r="F14"/>
      <c r="G14"/>
      <c r="H14"/>
      <c r="I14"/>
      <c r="J14"/>
    </row>
    <row r="15" spans="1:49" x14ac:dyDescent="0.25">
      <c r="A15"/>
      <c r="B15"/>
      <c r="C15"/>
      <c r="D15"/>
      <c r="E15"/>
      <c r="F15"/>
      <c r="G15"/>
      <c r="H15"/>
      <c r="I15"/>
      <c r="J15"/>
    </row>
    <row r="16" spans="1:49" x14ac:dyDescent="0.25">
      <c r="A16"/>
      <c r="B16"/>
      <c r="C16"/>
      <c r="D16"/>
      <c r="E16"/>
      <c r="F16"/>
      <c r="G16"/>
      <c r="H16"/>
      <c r="I16"/>
      <c r="J16"/>
    </row>
    <row r="17" spans="1:10" x14ac:dyDescent="0.25">
      <c r="A17"/>
      <c r="B17"/>
      <c r="C17"/>
      <c r="D17"/>
      <c r="E17"/>
      <c r="F17"/>
      <c r="G17"/>
      <c r="H17"/>
      <c r="I17"/>
      <c r="J17"/>
    </row>
    <row r="18" spans="1:10" x14ac:dyDescent="0.25">
      <c r="A18"/>
      <c r="B18"/>
      <c r="C18"/>
      <c r="D18"/>
      <c r="E18"/>
      <c r="F18"/>
      <c r="G18"/>
      <c r="H18"/>
      <c r="I18"/>
      <c r="J18"/>
    </row>
    <row r="19" spans="1:10" x14ac:dyDescent="0.25">
      <c r="A19"/>
      <c r="B19"/>
      <c r="C19"/>
      <c r="D19"/>
      <c r="E19"/>
      <c r="F19"/>
      <c r="G19"/>
      <c r="H19"/>
      <c r="I19"/>
      <c r="J19"/>
    </row>
    <row r="20" spans="1:10" x14ac:dyDescent="0.25">
      <c r="A20"/>
      <c r="B20"/>
      <c r="C20"/>
      <c r="D20"/>
      <c r="E20"/>
      <c r="F20"/>
      <c r="G20"/>
      <c r="H20"/>
      <c r="I20"/>
      <c r="J20"/>
    </row>
    <row r="21" spans="1:10" x14ac:dyDescent="0.25">
      <c r="A21"/>
      <c r="B21"/>
      <c r="C21"/>
      <c r="D21"/>
      <c r="E21"/>
      <c r="F21"/>
      <c r="G21"/>
      <c r="H21"/>
      <c r="I21"/>
      <c r="J21"/>
    </row>
    <row r="22" spans="1:10" x14ac:dyDescent="0.25">
      <c r="A22"/>
      <c r="B22"/>
      <c r="C22"/>
      <c r="D22"/>
      <c r="E22"/>
      <c r="F22"/>
      <c r="G22"/>
      <c r="H22"/>
      <c r="I22"/>
      <c r="J22"/>
    </row>
    <row r="142" spans="1:10" x14ac:dyDescent="0.25">
      <c r="A142" s="262"/>
      <c r="B142" s="262"/>
      <c r="C142" s="262"/>
      <c r="D142" s="262"/>
      <c r="E142" s="170"/>
      <c r="F142" s="170"/>
      <c r="G142" s="170"/>
      <c r="H142" s="170"/>
      <c r="I142" s="170"/>
      <c r="J142" s="196"/>
    </row>
    <row r="143" spans="1:10" x14ac:dyDescent="0.25">
      <c r="A143" s="170"/>
      <c r="B143" s="170"/>
      <c r="C143" s="170"/>
      <c r="D143" s="170"/>
      <c r="E143" s="170"/>
      <c r="F143" s="170"/>
      <c r="G143" s="170"/>
      <c r="H143" s="170"/>
      <c r="I143" s="170"/>
      <c r="J143" s="170"/>
    </row>
    <row r="144" spans="1:10" x14ac:dyDescent="0.25">
      <c r="A144" s="170"/>
      <c r="B144" s="170"/>
      <c r="C144" s="170"/>
      <c r="D144" s="170"/>
      <c r="E144" s="170"/>
      <c r="F144" s="170"/>
      <c r="G144" s="170"/>
      <c r="H144" s="170"/>
      <c r="I144" s="170"/>
      <c r="J144" s="170"/>
    </row>
    <row r="145" spans="1:10" x14ac:dyDescent="0.25">
      <c r="A145" s="170"/>
      <c r="B145" s="170"/>
      <c r="C145" s="170"/>
      <c r="D145" s="170"/>
      <c r="E145" s="170"/>
      <c r="F145" s="170"/>
      <c r="G145" s="170"/>
      <c r="H145" s="170"/>
      <c r="I145" s="170"/>
      <c r="J145" s="170"/>
    </row>
    <row r="146" spans="1:10" x14ac:dyDescent="0.25">
      <c r="A146" s="170"/>
      <c r="B146" s="170"/>
      <c r="C146" s="170"/>
      <c r="D146" s="170"/>
      <c r="E146" s="170"/>
      <c r="F146" s="170"/>
      <c r="G146" s="170"/>
      <c r="H146" s="170"/>
      <c r="I146" s="170"/>
      <c r="J146" s="170"/>
    </row>
  </sheetData>
  <sheetProtection sheet="1" objects="1" scenarios="1"/>
  <mergeCells count="4">
    <mergeCell ref="A1:J2"/>
    <mergeCell ref="L1:X2"/>
    <mergeCell ref="Y1:AK2"/>
    <mergeCell ref="AL1:AW2"/>
  </mergeCells>
  <dataValidations count="1">
    <dataValidation operator="equal" allowBlank="1" showInputMessage="1" showErrorMessage="1" sqref="A23:J1048576 AM1:AM3 K1:AK1048576 AL1:AL4 AX1:XFD1048576 AN1:AW4 AL11:AW1048576 A1:J9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508000</xdr:colOff>
                    <xdr:row>0</xdr:row>
                    <xdr:rowOff>107950</xdr:rowOff>
                  </from>
                  <to>
                    <xdr:col>1</xdr:col>
                    <xdr:colOff>869950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24</xdr:col>
                    <xdr:colOff>412750</xdr:colOff>
                    <xdr:row>0</xdr:row>
                    <xdr:rowOff>88900</xdr:rowOff>
                  </from>
                  <to>
                    <xdr:col>26</xdr:col>
                    <xdr:colOff>374650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37</xdr:col>
                    <xdr:colOff>228600</xdr:colOff>
                    <xdr:row>0</xdr:row>
                    <xdr:rowOff>107950</xdr:rowOff>
                  </from>
                  <to>
                    <xdr:col>40</xdr:col>
                    <xdr:colOff>146050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34</xdr:col>
                    <xdr:colOff>12700</xdr:colOff>
                    <xdr:row>0</xdr:row>
                    <xdr:rowOff>76200</xdr:rowOff>
                  </from>
                  <to>
                    <xdr:col>34</xdr:col>
                    <xdr:colOff>1060450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L108"/>
  <sheetViews>
    <sheetView zoomScale="80" zoomScaleNormal="80" workbookViewId="0">
      <selection activeCell="E12" sqref="E12"/>
    </sheetView>
  </sheetViews>
  <sheetFormatPr defaultColWidth="8.7265625" defaultRowHeight="12.5" x14ac:dyDescent="0.25"/>
  <cols>
    <col min="2" max="2" width="10.453125" bestFit="1" customWidth="1"/>
    <col min="3" max="3" width="11.1796875" bestFit="1" customWidth="1"/>
    <col min="4" max="4" width="10.81640625" bestFit="1" customWidth="1"/>
    <col min="5" max="5" width="81.08984375" customWidth="1"/>
    <col min="6" max="6" width="11.81640625" customWidth="1"/>
    <col min="7" max="7" width="8.36328125" bestFit="1" customWidth="1"/>
    <col min="8" max="8" width="9.453125" bestFit="1" customWidth="1"/>
    <col min="9" max="9" width="10.1796875" bestFit="1" customWidth="1"/>
    <col min="10" max="10" width="77.26953125" customWidth="1"/>
    <col min="11" max="11" width="11.54296875" style="222" customWidth="1"/>
    <col min="12" max="12" width="13.54296875" customWidth="1"/>
  </cols>
  <sheetData>
    <row r="2" spans="1:11" x14ac:dyDescent="0.25">
      <c r="E2" s="144" t="s">
        <v>1834</v>
      </c>
    </row>
    <row r="3" spans="1:11" x14ac:dyDescent="0.25">
      <c r="D3" s="144" t="s">
        <v>1674</v>
      </c>
      <c r="E3" s="144" t="s">
        <v>1836</v>
      </c>
    </row>
    <row r="4" spans="1:11" x14ac:dyDescent="0.25">
      <c r="D4" s="144" t="s">
        <v>1675</v>
      </c>
      <c r="E4" s="144" t="s">
        <v>1837</v>
      </c>
    </row>
    <row r="5" spans="1:11" x14ac:dyDescent="0.25">
      <c r="D5" s="144" t="s">
        <v>1676</v>
      </c>
      <c r="E5" s="144" t="s">
        <v>1838</v>
      </c>
    </row>
    <row r="6" spans="1:11" x14ac:dyDescent="0.25">
      <c r="C6" s="144"/>
      <c r="D6" s="144"/>
    </row>
    <row r="7" spans="1:11" x14ac:dyDescent="0.25">
      <c r="C7" s="144"/>
      <c r="D7" s="144"/>
    </row>
    <row r="8" spans="1:11" x14ac:dyDescent="0.25">
      <c r="H8" s="119"/>
    </row>
    <row r="10" spans="1:11" x14ac:dyDescent="0.25">
      <c r="A10" s="121" t="s">
        <v>1815</v>
      </c>
      <c r="E10" s="55"/>
      <c r="K10"/>
    </row>
    <row r="11" spans="1:11" x14ac:dyDescent="0.25">
      <c r="A11" s="137" t="s">
        <v>1816</v>
      </c>
      <c r="E11" s="55"/>
      <c r="K11"/>
    </row>
    <row r="12" spans="1:11" x14ac:dyDescent="0.25">
      <c r="A12" s="219" t="s">
        <v>1742</v>
      </c>
      <c r="E12" s="55"/>
      <c r="K12"/>
    </row>
    <row r="13" spans="1:11" x14ac:dyDescent="0.25">
      <c r="E13" s="55"/>
      <c r="K13"/>
    </row>
    <row r="14" spans="1:11" x14ac:dyDescent="0.25">
      <c r="E14" s="55"/>
      <c r="K14"/>
    </row>
    <row r="15" spans="1:11" ht="13" thickBot="1" x14ac:dyDescent="0.3">
      <c r="E15" s="55"/>
      <c r="K15"/>
    </row>
    <row r="16" spans="1:11" ht="30" thickTop="1" thickBot="1" x14ac:dyDescent="0.4">
      <c r="A16" s="270" t="s">
        <v>1817</v>
      </c>
      <c r="B16" s="270" t="s">
        <v>1654</v>
      </c>
      <c r="C16" s="270" t="s">
        <v>1809</v>
      </c>
      <c r="D16" s="270" t="s">
        <v>1810</v>
      </c>
      <c r="E16" s="279" t="s">
        <v>1811</v>
      </c>
      <c r="F16" s="270" t="s">
        <v>1812</v>
      </c>
      <c r="G16" s="270" t="s">
        <v>1813</v>
      </c>
      <c r="H16" s="270" t="s">
        <v>1828</v>
      </c>
      <c r="I16" s="280" t="s">
        <v>1814</v>
      </c>
      <c r="J16" s="271" t="s">
        <v>1709</v>
      </c>
      <c r="K16"/>
    </row>
    <row r="17" spans="1:11" ht="13.5" thickTop="1" thickBot="1" x14ac:dyDescent="0.3">
      <c r="A17" s="272">
        <v>1</v>
      </c>
      <c r="B17" s="273">
        <v>44060</v>
      </c>
      <c r="C17" s="274" t="s">
        <v>1721</v>
      </c>
      <c r="D17" s="274" t="s">
        <v>1818</v>
      </c>
      <c r="E17" s="281" t="s">
        <v>1708</v>
      </c>
      <c r="F17" s="274" t="s">
        <v>1819</v>
      </c>
      <c r="G17" s="274" t="s">
        <v>1816</v>
      </c>
      <c r="H17" s="274"/>
      <c r="I17" s="273">
        <v>44061</v>
      </c>
      <c r="J17" s="273" t="s">
        <v>1716</v>
      </c>
      <c r="K17"/>
    </row>
    <row r="18" spans="1:11" ht="13.5" thickTop="1" thickBot="1" x14ac:dyDescent="0.3">
      <c r="A18" s="272">
        <v>2</v>
      </c>
      <c r="B18" s="273">
        <v>44060</v>
      </c>
      <c r="C18" s="274" t="s">
        <v>1721</v>
      </c>
      <c r="D18" s="274" t="s">
        <v>1818</v>
      </c>
      <c r="E18" s="281" t="s">
        <v>1821</v>
      </c>
      <c r="F18" s="274" t="s">
        <v>1819</v>
      </c>
      <c r="G18" s="274" t="s">
        <v>1815</v>
      </c>
      <c r="H18" s="274" t="s">
        <v>1723</v>
      </c>
      <c r="I18" s="273">
        <v>44061</v>
      </c>
      <c r="J18" s="273" t="s">
        <v>1710</v>
      </c>
      <c r="K18"/>
    </row>
    <row r="19" spans="1:11" ht="13.5" thickTop="1" thickBot="1" x14ac:dyDescent="0.3">
      <c r="A19" s="272">
        <v>3</v>
      </c>
      <c r="B19" s="273">
        <v>44060</v>
      </c>
      <c r="C19" s="274" t="s">
        <v>1721</v>
      </c>
      <c r="D19" s="274" t="s">
        <v>1818</v>
      </c>
      <c r="E19" s="281" t="s">
        <v>1822</v>
      </c>
      <c r="F19" s="274" t="s">
        <v>1819</v>
      </c>
      <c r="G19" s="274" t="s">
        <v>1742</v>
      </c>
      <c r="H19" s="274"/>
      <c r="I19" s="273"/>
      <c r="J19" s="273" t="s">
        <v>1711</v>
      </c>
      <c r="K19"/>
    </row>
    <row r="20" spans="1:11" ht="13.5" thickTop="1" thickBot="1" x14ac:dyDescent="0.3">
      <c r="A20" s="272">
        <v>4</v>
      </c>
      <c r="B20" s="273">
        <v>44060</v>
      </c>
      <c r="C20" s="274" t="s">
        <v>1721</v>
      </c>
      <c r="D20" s="274" t="s">
        <v>1818</v>
      </c>
      <c r="E20" s="281" t="s">
        <v>1712</v>
      </c>
      <c r="F20" s="274" t="s">
        <v>1819</v>
      </c>
      <c r="G20" s="274" t="s">
        <v>1742</v>
      </c>
      <c r="H20" s="274"/>
      <c r="I20" s="273"/>
      <c r="J20" s="273" t="s">
        <v>1711</v>
      </c>
      <c r="K20"/>
    </row>
    <row r="21" spans="1:11" ht="13.5" thickTop="1" thickBot="1" x14ac:dyDescent="0.3">
      <c r="A21" s="272">
        <v>5</v>
      </c>
      <c r="B21" s="273">
        <v>44060</v>
      </c>
      <c r="C21" s="274" t="s">
        <v>1721</v>
      </c>
      <c r="D21" s="274" t="s">
        <v>1818</v>
      </c>
      <c r="E21" s="281" t="s">
        <v>1713</v>
      </c>
      <c r="F21" s="274" t="s">
        <v>1819</v>
      </c>
      <c r="G21" s="274" t="s">
        <v>1641</v>
      </c>
      <c r="H21" s="274" t="s">
        <v>1721</v>
      </c>
      <c r="I21" s="273">
        <v>44061</v>
      </c>
      <c r="J21" s="273" t="s">
        <v>1739</v>
      </c>
      <c r="K21"/>
    </row>
    <row r="22" spans="1:11" ht="26" thickTop="1" thickBot="1" x14ac:dyDescent="0.3">
      <c r="A22" s="272">
        <v>6</v>
      </c>
      <c r="B22" s="273">
        <v>44060</v>
      </c>
      <c r="C22" s="274" t="s">
        <v>1721</v>
      </c>
      <c r="D22" s="274" t="s">
        <v>1820</v>
      </c>
      <c r="E22" s="281" t="s">
        <v>1730</v>
      </c>
      <c r="F22" s="274" t="s">
        <v>1819</v>
      </c>
      <c r="G22" s="274" t="s">
        <v>1641</v>
      </c>
      <c r="H22" s="274" t="s">
        <v>1721</v>
      </c>
      <c r="I22" s="273">
        <v>44060</v>
      </c>
      <c r="J22" s="276" t="s">
        <v>1714</v>
      </c>
      <c r="K22"/>
    </row>
    <row r="23" spans="1:11" ht="26" thickTop="1" thickBot="1" x14ac:dyDescent="0.3">
      <c r="A23" s="272">
        <v>7</v>
      </c>
      <c r="B23" s="273">
        <v>44060</v>
      </c>
      <c r="C23" s="274" t="s">
        <v>1721</v>
      </c>
      <c r="D23" s="274" t="s">
        <v>1820</v>
      </c>
      <c r="E23" s="281" t="s">
        <v>1731</v>
      </c>
      <c r="F23" s="274" t="s">
        <v>1819</v>
      </c>
      <c r="G23" s="274" t="s">
        <v>1641</v>
      </c>
      <c r="H23" s="274" t="s">
        <v>1721</v>
      </c>
      <c r="I23" s="273">
        <v>44060</v>
      </c>
      <c r="J23" s="276" t="s">
        <v>1715</v>
      </c>
      <c r="K23"/>
    </row>
    <row r="24" spans="1:11" ht="26" thickTop="1" thickBot="1" x14ac:dyDescent="0.3">
      <c r="A24" s="272">
        <v>8</v>
      </c>
      <c r="B24" s="273">
        <v>44060</v>
      </c>
      <c r="C24" s="274" t="s">
        <v>1721</v>
      </c>
      <c r="D24" s="274" t="s">
        <v>1820</v>
      </c>
      <c r="E24" s="281" t="s">
        <v>1732</v>
      </c>
      <c r="F24" s="274" t="s">
        <v>1819</v>
      </c>
      <c r="G24" s="274" t="s">
        <v>1642</v>
      </c>
      <c r="H24" s="274"/>
      <c r="I24" s="273"/>
      <c r="J24" s="276" t="s">
        <v>1716</v>
      </c>
      <c r="K24"/>
    </row>
    <row r="25" spans="1:11" ht="26" thickTop="1" thickBot="1" x14ac:dyDescent="0.3">
      <c r="A25" s="272">
        <v>9</v>
      </c>
      <c r="B25" s="273">
        <v>44060</v>
      </c>
      <c r="C25" s="274" t="s">
        <v>1721</v>
      </c>
      <c r="D25" s="274" t="s">
        <v>1820</v>
      </c>
      <c r="E25" s="281" t="s">
        <v>1733</v>
      </c>
      <c r="F25" s="274" t="s">
        <v>1819</v>
      </c>
      <c r="G25" s="274" t="s">
        <v>1815</v>
      </c>
      <c r="H25" s="274" t="s">
        <v>1721</v>
      </c>
      <c r="I25" s="273">
        <v>44060</v>
      </c>
      <c r="J25" s="276" t="s">
        <v>1722</v>
      </c>
      <c r="K25"/>
    </row>
    <row r="26" spans="1:11" ht="26" thickTop="1" thickBot="1" x14ac:dyDescent="0.3">
      <c r="A26" s="272">
        <v>10</v>
      </c>
      <c r="B26" s="273">
        <v>44060</v>
      </c>
      <c r="C26" s="274" t="s">
        <v>1721</v>
      </c>
      <c r="D26" s="274" t="s">
        <v>1820</v>
      </c>
      <c r="E26" s="281" t="s">
        <v>1734</v>
      </c>
      <c r="F26" s="274" t="s">
        <v>1819</v>
      </c>
      <c r="G26" s="274" t="s">
        <v>1641</v>
      </c>
      <c r="H26" s="274" t="s">
        <v>1721</v>
      </c>
      <c r="I26" s="273">
        <v>44060</v>
      </c>
      <c r="J26" s="276" t="s">
        <v>1710</v>
      </c>
      <c r="K26"/>
    </row>
    <row r="27" spans="1:11" ht="26" thickTop="1" thickBot="1" x14ac:dyDescent="0.3">
      <c r="A27" s="272">
        <v>11</v>
      </c>
      <c r="B27" s="273">
        <v>44060</v>
      </c>
      <c r="C27" s="274" t="s">
        <v>1721</v>
      </c>
      <c r="D27" s="274" t="s">
        <v>1820</v>
      </c>
      <c r="E27" s="281" t="s">
        <v>1735</v>
      </c>
      <c r="F27" s="274" t="s">
        <v>1819</v>
      </c>
      <c r="G27" s="274" t="s">
        <v>1642</v>
      </c>
      <c r="H27" s="274"/>
      <c r="I27" s="273"/>
      <c r="J27" s="276" t="s">
        <v>1716</v>
      </c>
      <c r="K27"/>
    </row>
    <row r="28" spans="1:11" ht="26" thickTop="1" thickBot="1" x14ac:dyDescent="0.3">
      <c r="A28" s="272">
        <v>12</v>
      </c>
      <c r="B28" s="273">
        <v>44060</v>
      </c>
      <c r="C28" s="274" t="s">
        <v>1721</v>
      </c>
      <c r="D28" s="274" t="s">
        <v>1820</v>
      </c>
      <c r="E28" s="281" t="s">
        <v>1736</v>
      </c>
      <c r="F28" s="274" t="s">
        <v>1819</v>
      </c>
      <c r="G28" s="274" t="s">
        <v>1641</v>
      </c>
      <c r="H28" s="274" t="s">
        <v>1721</v>
      </c>
      <c r="I28" s="273">
        <v>44060</v>
      </c>
      <c r="J28" s="276" t="s">
        <v>1720</v>
      </c>
      <c r="K28"/>
    </row>
    <row r="29" spans="1:11" ht="26" thickTop="1" thickBot="1" x14ac:dyDescent="0.3">
      <c r="A29" s="272">
        <v>13</v>
      </c>
      <c r="B29" s="277">
        <v>44060</v>
      </c>
      <c r="C29" s="278" t="s">
        <v>1721</v>
      </c>
      <c r="D29" s="278" t="s">
        <v>1820</v>
      </c>
      <c r="E29" s="282" t="s">
        <v>1737</v>
      </c>
      <c r="F29" s="278" t="s">
        <v>1819</v>
      </c>
      <c r="G29" s="278" t="s">
        <v>1641</v>
      </c>
      <c r="H29" s="278" t="s">
        <v>1721</v>
      </c>
      <c r="I29" s="277">
        <v>44060</v>
      </c>
      <c r="J29" s="276" t="s">
        <v>1719</v>
      </c>
      <c r="K29"/>
    </row>
    <row r="30" spans="1:11" ht="26" thickTop="1" thickBot="1" x14ac:dyDescent="0.3">
      <c r="A30" s="272">
        <v>14</v>
      </c>
      <c r="B30" s="277">
        <v>44063</v>
      </c>
      <c r="C30" s="278"/>
      <c r="D30" s="278" t="s">
        <v>1820</v>
      </c>
      <c r="E30" s="283" t="s">
        <v>1743</v>
      </c>
      <c r="F30" s="274" t="s">
        <v>1819</v>
      </c>
      <c r="G30" s="278" t="s">
        <v>1815</v>
      </c>
      <c r="H30" s="278" t="s">
        <v>1756</v>
      </c>
      <c r="I30" s="277">
        <v>44064</v>
      </c>
      <c r="J30" s="273" t="s">
        <v>1751</v>
      </c>
      <c r="K30"/>
    </row>
    <row r="31" spans="1:11" ht="26" thickTop="1" thickBot="1" x14ac:dyDescent="0.3">
      <c r="A31" s="272">
        <v>15</v>
      </c>
      <c r="B31" s="273">
        <v>44063</v>
      </c>
      <c r="C31" s="274"/>
      <c r="D31" s="278" t="s">
        <v>1820</v>
      </c>
      <c r="E31" s="283" t="s">
        <v>1744</v>
      </c>
      <c r="F31" s="278" t="s">
        <v>1819</v>
      </c>
      <c r="G31" s="274" t="s">
        <v>1815</v>
      </c>
      <c r="H31" s="274" t="s">
        <v>1756</v>
      </c>
      <c r="I31" s="273">
        <v>44064</v>
      </c>
      <c r="J31" s="273" t="s">
        <v>1752</v>
      </c>
      <c r="K31"/>
    </row>
    <row r="32" spans="1:11" ht="13.5" thickTop="1" thickBot="1" x14ac:dyDescent="0.3">
      <c r="A32" s="272">
        <v>16</v>
      </c>
      <c r="B32" s="277">
        <v>44063</v>
      </c>
      <c r="C32" s="274"/>
      <c r="D32" s="278" t="s">
        <v>1820</v>
      </c>
      <c r="E32" s="283" t="s">
        <v>1745</v>
      </c>
      <c r="F32" s="274" t="s">
        <v>1819</v>
      </c>
      <c r="G32" s="274" t="s">
        <v>1815</v>
      </c>
      <c r="H32" s="274" t="s">
        <v>1756</v>
      </c>
      <c r="I32" s="273">
        <v>44064</v>
      </c>
      <c r="J32" s="273" t="s">
        <v>1751</v>
      </c>
      <c r="K32"/>
    </row>
    <row r="33" spans="1:11" ht="13.5" thickTop="1" thickBot="1" x14ac:dyDescent="0.3">
      <c r="A33" s="272">
        <v>17</v>
      </c>
      <c r="B33" s="277">
        <v>44063</v>
      </c>
      <c r="C33" s="274"/>
      <c r="D33" s="278" t="s">
        <v>1820</v>
      </c>
      <c r="E33" s="283" t="s">
        <v>1746</v>
      </c>
      <c r="F33" s="278" t="s">
        <v>1819</v>
      </c>
      <c r="G33" s="274" t="s">
        <v>1815</v>
      </c>
      <c r="H33" s="274" t="s">
        <v>1756</v>
      </c>
      <c r="I33" s="273">
        <v>44064</v>
      </c>
      <c r="J33" s="273" t="s">
        <v>1753</v>
      </c>
      <c r="K33"/>
    </row>
    <row r="34" spans="1:11" ht="38.5" thickTop="1" thickBot="1" x14ac:dyDescent="0.3">
      <c r="A34" s="272">
        <v>18</v>
      </c>
      <c r="B34" s="273">
        <v>44063</v>
      </c>
      <c r="C34" s="274"/>
      <c r="D34" s="278" t="s">
        <v>1820</v>
      </c>
      <c r="E34" s="283" t="s">
        <v>1747</v>
      </c>
      <c r="F34" s="274" t="s">
        <v>1819</v>
      </c>
      <c r="G34" s="274" t="s">
        <v>1815</v>
      </c>
      <c r="H34" s="274" t="s">
        <v>1756</v>
      </c>
      <c r="I34" s="273">
        <v>44064</v>
      </c>
      <c r="J34" s="273" t="s">
        <v>1754</v>
      </c>
      <c r="K34"/>
    </row>
    <row r="35" spans="1:11" ht="26" thickTop="1" thickBot="1" x14ac:dyDescent="0.3">
      <c r="A35" s="272">
        <v>19</v>
      </c>
      <c r="B35" s="277">
        <v>44063</v>
      </c>
      <c r="C35" s="274"/>
      <c r="D35" s="278" t="s">
        <v>1820</v>
      </c>
      <c r="E35" s="283" t="s">
        <v>1748</v>
      </c>
      <c r="F35" s="278" t="s">
        <v>1819</v>
      </c>
      <c r="G35" s="274" t="s">
        <v>1815</v>
      </c>
      <c r="H35" s="274" t="s">
        <v>1756</v>
      </c>
      <c r="I35" s="273">
        <v>44064</v>
      </c>
      <c r="J35" s="273" t="s">
        <v>1755</v>
      </c>
      <c r="K35"/>
    </row>
    <row r="36" spans="1:11" ht="13.5" thickTop="1" thickBot="1" x14ac:dyDescent="0.3">
      <c r="A36" s="272">
        <v>20</v>
      </c>
      <c r="B36" s="277">
        <v>44063</v>
      </c>
      <c r="C36" s="274"/>
      <c r="D36" s="278" t="s">
        <v>1820</v>
      </c>
      <c r="E36" s="283" t="s">
        <v>1749</v>
      </c>
      <c r="F36" s="278" t="s">
        <v>1819</v>
      </c>
      <c r="G36" s="274" t="s">
        <v>1815</v>
      </c>
      <c r="H36" s="274" t="s">
        <v>1756</v>
      </c>
      <c r="I36" s="273">
        <v>44064</v>
      </c>
      <c r="J36" s="273" t="s">
        <v>1751</v>
      </c>
      <c r="K36"/>
    </row>
    <row r="37" spans="1:11" ht="26" thickTop="1" thickBot="1" x14ac:dyDescent="0.3">
      <c r="A37" s="272">
        <v>21</v>
      </c>
      <c r="B37" s="273">
        <v>44068</v>
      </c>
      <c r="C37" s="274"/>
      <c r="D37" s="278" t="s">
        <v>1820</v>
      </c>
      <c r="E37" s="284" t="s">
        <v>1757</v>
      </c>
      <c r="F37" s="274" t="s">
        <v>1819</v>
      </c>
      <c r="G37" s="274" t="s">
        <v>1815</v>
      </c>
      <c r="H37" s="274" t="s">
        <v>1758</v>
      </c>
      <c r="I37" s="273">
        <v>44068</v>
      </c>
      <c r="J37" s="273" t="s">
        <v>1775</v>
      </c>
      <c r="K37"/>
    </row>
    <row r="38" spans="1:11" ht="26" thickTop="1" thickBot="1" x14ac:dyDescent="0.3">
      <c r="A38" s="272">
        <v>22</v>
      </c>
      <c r="B38" s="273">
        <v>44068</v>
      </c>
      <c r="C38" s="274"/>
      <c r="D38" s="274"/>
      <c r="E38" s="284" t="s">
        <v>1750</v>
      </c>
      <c r="F38" s="275"/>
      <c r="G38" s="274" t="s">
        <v>1742</v>
      </c>
      <c r="H38" s="274"/>
      <c r="I38" s="273"/>
      <c r="J38" s="273"/>
      <c r="K38"/>
    </row>
    <row r="39" spans="1:11" ht="13.5" thickTop="1" thickBot="1" x14ac:dyDescent="0.3">
      <c r="A39" s="272">
        <v>23</v>
      </c>
      <c r="B39" s="273">
        <v>44069</v>
      </c>
      <c r="C39" s="274"/>
      <c r="D39" s="274" t="s">
        <v>1820</v>
      </c>
      <c r="E39" s="284" t="s">
        <v>1767</v>
      </c>
      <c r="F39" s="275" t="s">
        <v>1819</v>
      </c>
      <c r="G39" s="274" t="s">
        <v>1815</v>
      </c>
      <c r="H39" s="274" t="s">
        <v>1776</v>
      </c>
      <c r="I39" s="273">
        <v>44069</v>
      </c>
      <c r="J39" s="273" t="s">
        <v>1773</v>
      </c>
      <c r="K39"/>
    </row>
    <row r="40" spans="1:11" ht="13.5" thickTop="1" thickBot="1" x14ac:dyDescent="0.3">
      <c r="A40" s="272">
        <v>24</v>
      </c>
      <c r="B40" s="273">
        <v>44069</v>
      </c>
      <c r="C40" s="274"/>
      <c r="D40" s="274" t="s">
        <v>1820</v>
      </c>
      <c r="E40" s="284" t="s">
        <v>1768</v>
      </c>
      <c r="F40" s="275" t="s">
        <v>1819</v>
      </c>
      <c r="G40" s="274" t="s">
        <v>1815</v>
      </c>
      <c r="H40" s="274" t="s">
        <v>1776</v>
      </c>
      <c r="I40" s="273">
        <v>44069</v>
      </c>
      <c r="J40" s="273" t="s">
        <v>1774</v>
      </c>
      <c r="K40"/>
    </row>
    <row r="41" spans="1:11" ht="13.5" thickTop="1" thickBot="1" x14ac:dyDescent="0.3">
      <c r="A41" s="272">
        <v>25</v>
      </c>
      <c r="B41" s="273">
        <v>44069</v>
      </c>
      <c r="C41" s="274"/>
      <c r="D41" s="274" t="s">
        <v>1820</v>
      </c>
      <c r="E41" s="284" t="s">
        <v>1777</v>
      </c>
      <c r="F41" s="275" t="s">
        <v>1819</v>
      </c>
      <c r="G41" s="274" t="s">
        <v>1815</v>
      </c>
      <c r="H41" s="274" t="s">
        <v>1779</v>
      </c>
      <c r="I41" s="273">
        <v>44069</v>
      </c>
      <c r="J41" s="273" t="s">
        <v>1778</v>
      </c>
      <c r="K41"/>
    </row>
    <row r="42" spans="1:11" ht="13.5" thickTop="1" thickBot="1" x14ac:dyDescent="0.3">
      <c r="A42" s="272">
        <v>26</v>
      </c>
      <c r="B42" s="273">
        <v>44069</v>
      </c>
      <c r="C42" s="274"/>
      <c r="D42" s="274" t="s">
        <v>1820</v>
      </c>
      <c r="E42" s="284" t="s">
        <v>1780</v>
      </c>
      <c r="F42" s="275" t="s">
        <v>1819</v>
      </c>
      <c r="G42" s="274" t="s">
        <v>1815</v>
      </c>
      <c r="H42" s="274" t="s">
        <v>1782</v>
      </c>
      <c r="I42" s="273">
        <v>44070</v>
      </c>
      <c r="J42" s="273" t="s">
        <v>1781</v>
      </c>
      <c r="K42"/>
    </row>
    <row r="43" spans="1:11" ht="13.5" thickTop="1" thickBot="1" x14ac:dyDescent="0.3">
      <c r="A43" s="272">
        <v>27</v>
      </c>
      <c r="B43" s="273">
        <v>44063</v>
      </c>
      <c r="C43" s="274"/>
      <c r="D43" s="274" t="s">
        <v>1819</v>
      </c>
      <c r="E43" s="284" t="s">
        <v>1766</v>
      </c>
      <c r="F43" s="274"/>
      <c r="G43" s="274" t="s">
        <v>1742</v>
      </c>
      <c r="H43" s="274"/>
      <c r="I43" s="273"/>
      <c r="J43" s="273" t="s">
        <v>1765</v>
      </c>
      <c r="K43"/>
    </row>
    <row r="44" spans="1:11" ht="13.5" thickTop="1" thickBot="1" x14ac:dyDescent="0.3">
      <c r="A44" s="272">
        <v>28</v>
      </c>
      <c r="B44" s="273">
        <v>44063</v>
      </c>
      <c r="C44" s="274"/>
      <c r="D44" s="274" t="s">
        <v>1819</v>
      </c>
      <c r="E44" s="284" t="s">
        <v>1784</v>
      </c>
      <c r="F44" s="275" t="s">
        <v>1819</v>
      </c>
      <c r="G44" s="274" t="s">
        <v>1815</v>
      </c>
      <c r="H44" s="274" t="s">
        <v>1758</v>
      </c>
      <c r="I44" s="273">
        <v>44070</v>
      </c>
      <c r="J44" s="273" t="s">
        <v>1783</v>
      </c>
      <c r="K44"/>
    </row>
    <row r="45" spans="1:11" ht="13.5" thickTop="1" thickBot="1" x14ac:dyDescent="0.3">
      <c r="A45" s="272">
        <v>29</v>
      </c>
      <c r="B45" s="273">
        <v>44068</v>
      </c>
      <c r="C45" s="274"/>
      <c r="D45" s="274" t="s">
        <v>1819</v>
      </c>
      <c r="E45" s="284" t="s">
        <v>1759</v>
      </c>
      <c r="F45" s="275" t="s">
        <v>1819</v>
      </c>
      <c r="G45" s="274" t="s">
        <v>1815</v>
      </c>
      <c r="H45" s="274" t="s">
        <v>1758</v>
      </c>
      <c r="I45" s="273">
        <v>44068</v>
      </c>
      <c r="J45" s="273" t="s">
        <v>1763</v>
      </c>
      <c r="K45"/>
    </row>
    <row r="46" spans="1:11" ht="13.5" thickTop="1" thickBot="1" x14ac:dyDescent="0.3">
      <c r="A46" s="272">
        <v>30</v>
      </c>
      <c r="B46" s="273">
        <v>44068</v>
      </c>
      <c r="C46" s="274"/>
      <c r="D46" s="274" t="s">
        <v>1819</v>
      </c>
      <c r="E46" s="284" t="s">
        <v>1761</v>
      </c>
      <c r="F46" s="275" t="s">
        <v>1819</v>
      </c>
      <c r="G46" s="274" t="s">
        <v>1815</v>
      </c>
      <c r="H46" s="274" t="s">
        <v>1772</v>
      </c>
      <c r="I46" s="273">
        <v>44068</v>
      </c>
      <c r="J46" s="273" t="s">
        <v>1762</v>
      </c>
      <c r="K46"/>
    </row>
    <row r="47" spans="1:11" ht="13.5" thickTop="1" thickBot="1" x14ac:dyDescent="0.3">
      <c r="A47" s="272">
        <v>31</v>
      </c>
      <c r="B47" s="273">
        <v>44069</v>
      </c>
      <c r="C47" s="274"/>
      <c r="D47" s="274" t="s">
        <v>1819</v>
      </c>
      <c r="E47" s="284" t="s">
        <v>1771</v>
      </c>
      <c r="F47" s="274"/>
      <c r="G47" s="274" t="s">
        <v>1742</v>
      </c>
      <c r="H47" s="274"/>
      <c r="I47" s="273"/>
      <c r="J47" s="273"/>
      <c r="K47"/>
    </row>
    <row r="48" spans="1:11" ht="13.5" thickTop="1" thickBot="1" x14ac:dyDescent="0.3">
      <c r="A48" s="272">
        <v>32</v>
      </c>
      <c r="B48" s="273">
        <v>44117</v>
      </c>
      <c r="C48" s="274"/>
      <c r="D48" s="274" t="s">
        <v>1819</v>
      </c>
      <c r="E48" s="284" t="s">
        <v>1786</v>
      </c>
      <c r="F48" s="275" t="s">
        <v>1819</v>
      </c>
      <c r="G48" s="274" t="s">
        <v>1815</v>
      </c>
      <c r="H48" s="274" t="s">
        <v>1785</v>
      </c>
      <c r="I48" s="273"/>
      <c r="J48" s="273"/>
      <c r="K48"/>
    </row>
    <row r="49" spans="1:11" ht="26" thickTop="1" thickBot="1" x14ac:dyDescent="0.3">
      <c r="A49" s="272">
        <v>33</v>
      </c>
      <c r="B49" s="273">
        <v>44124</v>
      </c>
      <c r="C49" s="274"/>
      <c r="D49" s="274" t="s">
        <v>1819</v>
      </c>
      <c r="E49" s="284" t="s">
        <v>1801</v>
      </c>
      <c r="F49" s="275" t="s">
        <v>1819</v>
      </c>
      <c r="G49" s="274" t="s">
        <v>1815</v>
      </c>
      <c r="H49" s="274" t="s">
        <v>1827</v>
      </c>
      <c r="I49" s="273">
        <v>44124</v>
      </c>
      <c r="J49" s="273" t="s">
        <v>1802</v>
      </c>
      <c r="K49"/>
    </row>
    <row r="50" spans="1:11" ht="13.5" thickTop="1" thickBot="1" x14ac:dyDescent="0.3">
      <c r="A50" s="272">
        <v>34</v>
      </c>
      <c r="B50" s="273">
        <v>44060</v>
      </c>
      <c r="C50" s="274"/>
      <c r="D50" s="274" t="s">
        <v>1819</v>
      </c>
      <c r="E50" s="284" t="s">
        <v>1725</v>
      </c>
      <c r="F50" s="275" t="s">
        <v>1819</v>
      </c>
      <c r="G50" s="274" t="s">
        <v>1815</v>
      </c>
      <c r="H50" s="274" t="s">
        <v>1721</v>
      </c>
      <c r="I50" s="273">
        <v>44060</v>
      </c>
      <c r="J50" s="273" t="s">
        <v>1717</v>
      </c>
      <c r="K50"/>
    </row>
    <row r="51" spans="1:11" ht="26" thickTop="1" thickBot="1" x14ac:dyDescent="0.3">
      <c r="A51" s="272">
        <v>35</v>
      </c>
      <c r="B51" s="273">
        <v>44060</v>
      </c>
      <c r="C51" s="274"/>
      <c r="D51" s="274" t="s">
        <v>1819</v>
      </c>
      <c r="E51" s="284" t="s">
        <v>1726</v>
      </c>
      <c r="F51" s="275" t="s">
        <v>1819</v>
      </c>
      <c r="G51" s="274" t="s">
        <v>1815</v>
      </c>
      <c r="H51" s="274" t="s">
        <v>1721</v>
      </c>
      <c r="I51" s="273">
        <v>44060</v>
      </c>
      <c r="J51" s="273" t="s">
        <v>1718</v>
      </c>
      <c r="K51"/>
    </row>
    <row r="52" spans="1:11" ht="38.5" thickTop="1" thickBot="1" x14ac:dyDescent="0.3">
      <c r="A52" s="272">
        <v>36</v>
      </c>
      <c r="B52" s="273">
        <v>44060</v>
      </c>
      <c r="C52" s="274"/>
      <c r="D52" s="274" t="s">
        <v>1819</v>
      </c>
      <c r="E52" s="284" t="s">
        <v>1727</v>
      </c>
      <c r="F52" s="275" t="s">
        <v>1819</v>
      </c>
      <c r="G52" s="274" t="s">
        <v>1815</v>
      </c>
      <c r="H52" s="274" t="s">
        <v>1723</v>
      </c>
      <c r="I52" s="273">
        <v>44061</v>
      </c>
      <c r="J52" s="273" t="s">
        <v>1724</v>
      </c>
      <c r="K52"/>
    </row>
    <row r="53" spans="1:11" ht="38.5" thickTop="1" thickBot="1" x14ac:dyDescent="0.3">
      <c r="A53" s="272">
        <v>37</v>
      </c>
      <c r="B53" s="273">
        <v>44060</v>
      </c>
      <c r="C53" s="274"/>
      <c r="D53" s="274" t="s">
        <v>1819</v>
      </c>
      <c r="E53" s="284" t="s">
        <v>1728</v>
      </c>
      <c r="F53" s="275" t="s">
        <v>1819</v>
      </c>
      <c r="G53" s="274" t="s">
        <v>1815</v>
      </c>
      <c r="H53" s="274" t="s">
        <v>1723</v>
      </c>
      <c r="I53" s="273">
        <v>44061</v>
      </c>
      <c r="J53" s="273" t="s">
        <v>1740</v>
      </c>
      <c r="K53"/>
    </row>
    <row r="54" spans="1:11" ht="26" thickTop="1" thickBot="1" x14ac:dyDescent="0.3">
      <c r="A54" s="272">
        <v>38</v>
      </c>
      <c r="B54" s="273">
        <v>44060</v>
      </c>
      <c r="C54" s="274"/>
      <c r="D54" s="274" t="s">
        <v>1819</v>
      </c>
      <c r="E54" s="284" t="s">
        <v>1729</v>
      </c>
      <c r="F54" s="275" t="s">
        <v>1819</v>
      </c>
      <c r="G54" s="274" t="s">
        <v>1815</v>
      </c>
      <c r="H54" s="274" t="s">
        <v>1723</v>
      </c>
      <c r="I54" s="273">
        <v>44061</v>
      </c>
      <c r="J54" s="273" t="s">
        <v>1738</v>
      </c>
      <c r="K54"/>
    </row>
    <row r="55" spans="1:11" ht="13.5" thickTop="1" thickBot="1" x14ac:dyDescent="0.3">
      <c r="A55" s="272">
        <v>39</v>
      </c>
      <c r="B55" s="273">
        <v>44060</v>
      </c>
      <c r="C55" s="274"/>
      <c r="D55" s="274" t="s">
        <v>1819</v>
      </c>
      <c r="E55" s="284" t="s">
        <v>1741</v>
      </c>
      <c r="F55" s="274"/>
      <c r="G55" s="274" t="s">
        <v>1742</v>
      </c>
      <c r="H55" s="274"/>
      <c r="I55" s="273"/>
      <c r="J55" s="273"/>
      <c r="K55"/>
    </row>
    <row r="56" spans="1:11" ht="13.5" thickTop="1" thickBot="1" x14ac:dyDescent="0.3">
      <c r="A56" s="272">
        <v>40</v>
      </c>
      <c r="B56" s="273">
        <v>44068</v>
      </c>
      <c r="C56" s="274"/>
      <c r="D56" s="274" t="s">
        <v>1819</v>
      </c>
      <c r="E56" s="284" t="s">
        <v>1764</v>
      </c>
      <c r="F56" s="275" t="s">
        <v>1819</v>
      </c>
      <c r="G56" s="274" t="s">
        <v>1815</v>
      </c>
      <c r="H56" s="274" t="s">
        <v>1758</v>
      </c>
      <c r="I56" s="273">
        <v>44068</v>
      </c>
      <c r="J56" s="273" t="s">
        <v>1763</v>
      </c>
      <c r="K56"/>
    </row>
    <row r="57" spans="1:11" ht="13.5" thickTop="1" thickBot="1" x14ac:dyDescent="0.3">
      <c r="A57" s="272">
        <v>41</v>
      </c>
      <c r="B57" s="273">
        <v>44117</v>
      </c>
      <c r="C57" s="274"/>
      <c r="D57" s="274" t="s">
        <v>1819</v>
      </c>
      <c r="E57" s="284" t="s">
        <v>1786</v>
      </c>
      <c r="F57" s="274"/>
      <c r="G57" s="274" t="s">
        <v>1742</v>
      </c>
      <c r="H57" s="274" t="s">
        <v>1785</v>
      </c>
      <c r="I57" s="273"/>
      <c r="J57" s="273"/>
      <c r="K57"/>
    </row>
    <row r="58" spans="1:11" ht="26" thickTop="1" thickBot="1" x14ac:dyDescent="0.3">
      <c r="A58" s="272">
        <v>42</v>
      </c>
      <c r="B58" s="273">
        <v>44125</v>
      </c>
      <c r="C58" s="274"/>
      <c r="D58" s="274" t="s">
        <v>1819</v>
      </c>
      <c r="E58" s="284" t="s">
        <v>1803</v>
      </c>
      <c r="F58" s="275" t="s">
        <v>1819</v>
      </c>
      <c r="G58" s="274" t="s">
        <v>1815</v>
      </c>
      <c r="H58" s="274" t="s">
        <v>1827</v>
      </c>
      <c r="I58" s="273">
        <v>44125</v>
      </c>
      <c r="J58" s="273" t="s">
        <v>1823</v>
      </c>
      <c r="K58"/>
    </row>
    <row r="59" spans="1:11" ht="26" thickTop="1" thickBot="1" x14ac:dyDescent="0.3">
      <c r="A59" s="272">
        <v>43</v>
      </c>
      <c r="B59" s="273">
        <v>44123</v>
      </c>
      <c r="C59" s="274"/>
      <c r="D59" s="275" t="s">
        <v>1820</v>
      </c>
      <c r="E59" s="284" t="s">
        <v>1797</v>
      </c>
      <c r="F59" s="275" t="s">
        <v>1819</v>
      </c>
      <c r="G59" s="274" t="s">
        <v>1815</v>
      </c>
      <c r="H59" s="274" t="s">
        <v>1827</v>
      </c>
      <c r="I59" s="273">
        <v>44124</v>
      </c>
      <c r="J59" s="273" t="s">
        <v>1795</v>
      </c>
      <c r="K59"/>
    </row>
    <row r="60" spans="1:11" ht="38.5" thickTop="1" thickBot="1" x14ac:dyDescent="0.3">
      <c r="A60" s="272">
        <v>44</v>
      </c>
      <c r="B60" s="273">
        <v>44123</v>
      </c>
      <c r="C60" s="274" t="s">
        <v>1796</v>
      </c>
      <c r="D60" s="275" t="s">
        <v>1818</v>
      </c>
      <c r="E60" s="284" t="s">
        <v>1798</v>
      </c>
      <c r="F60" s="274"/>
      <c r="G60" s="274" t="s">
        <v>1742</v>
      </c>
      <c r="H60" s="274"/>
      <c r="I60" s="273"/>
      <c r="J60" s="273"/>
      <c r="K60"/>
    </row>
    <row r="61" spans="1:11" ht="26" thickTop="1" thickBot="1" x14ac:dyDescent="0.3">
      <c r="A61" s="272">
        <v>45</v>
      </c>
      <c r="B61" s="273">
        <v>44123</v>
      </c>
      <c r="C61" s="274" t="s">
        <v>1796</v>
      </c>
      <c r="D61" s="275" t="s">
        <v>1824</v>
      </c>
      <c r="E61" s="284" t="s">
        <v>1799</v>
      </c>
      <c r="F61" s="274"/>
      <c r="G61" s="274"/>
      <c r="H61" s="274"/>
      <c r="I61" s="273"/>
      <c r="J61" s="273"/>
      <c r="K61"/>
    </row>
    <row r="62" spans="1:11" ht="13.5" thickTop="1" thickBot="1" x14ac:dyDescent="0.3">
      <c r="A62" s="272">
        <v>46</v>
      </c>
      <c r="B62" s="273">
        <v>44123</v>
      </c>
      <c r="C62" s="274" t="s">
        <v>1796</v>
      </c>
      <c r="D62" s="275" t="s">
        <v>1824</v>
      </c>
      <c r="E62" s="281" t="s">
        <v>1825</v>
      </c>
      <c r="F62" s="275" t="s">
        <v>1819</v>
      </c>
      <c r="G62" s="274" t="s">
        <v>1815</v>
      </c>
      <c r="H62" s="274" t="s">
        <v>1796</v>
      </c>
      <c r="I62" s="273">
        <v>44124</v>
      </c>
      <c r="J62" s="273" t="s">
        <v>1800</v>
      </c>
      <c r="K62"/>
    </row>
    <row r="63" spans="1:11" ht="13.5" thickTop="1" thickBot="1" x14ac:dyDescent="0.3">
      <c r="A63" s="272">
        <v>47</v>
      </c>
      <c r="B63" s="273">
        <v>44131</v>
      </c>
      <c r="C63" s="274" t="s">
        <v>1796</v>
      </c>
      <c r="D63" s="274" t="s">
        <v>1818</v>
      </c>
      <c r="E63" s="284" t="s">
        <v>1829</v>
      </c>
      <c r="F63" s="274" t="s">
        <v>1819</v>
      </c>
      <c r="G63" s="274"/>
      <c r="H63" s="274"/>
      <c r="I63" s="273"/>
      <c r="J63" s="273"/>
      <c r="K63"/>
    </row>
    <row r="64" spans="1:11" ht="13.5" thickTop="1" thickBot="1" x14ac:dyDescent="0.3">
      <c r="A64" s="272">
        <v>48</v>
      </c>
      <c r="B64" s="273">
        <v>44137</v>
      </c>
      <c r="C64" s="274" t="s">
        <v>1796</v>
      </c>
      <c r="D64" s="274" t="s">
        <v>1818</v>
      </c>
      <c r="E64" s="284" t="s">
        <v>1830</v>
      </c>
      <c r="F64" s="274" t="s">
        <v>1819</v>
      </c>
      <c r="G64" s="274"/>
      <c r="H64" s="274" t="s">
        <v>1796</v>
      </c>
      <c r="I64" s="273">
        <v>44138</v>
      </c>
      <c r="J64" s="273" t="s">
        <v>1831</v>
      </c>
      <c r="K64"/>
    </row>
    <row r="65" spans="1:11" ht="26" thickTop="1" thickBot="1" x14ac:dyDescent="0.3">
      <c r="A65" s="285">
        <v>49</v>
      </c>
      <c r="B65" s="286">
        <v>44137</v>
      </c>
      <c r="C65" s="274" t="s">
        <v>1796</v>
      </c>
      <c r="D65" s="287" t="s">
        <v>1832</v>
      </c>
      <c r="E65" s="301" t="s">
        <v>1833</v>
      </c>
      <c r="F65" s="300" t="s">
        <v>1819</v>
      </c>
      <c r="G65" s="287"/>
      <c r="H65" s="287"/>
      <c r="I65" s="286"/>
      <c r="J65" s="286"/>
      <c r="K65"/>
    </row>
    <row r="66" spans="1:11" ht="13.5" thickTop="1" thickBot="1" x14ac:dyDescent="0.3">
      <c r="A66" s="296">
        <v>50</v>
      </c>
      <c r="B66" s="273">
        <v>44137</v>
      </c>
      <c r="C66" s="274" t="s">
        <v>1796</v>
      </c>
      <c r="D66" s="297"/>
      <c r="E66" s="298"/>
      <c r="F66" s="297"/>
      <c r="G66" s="297"/>
      <c r="H66" s="297"/>
      <c r="I66" s="299"/>
      <c r="J66" s="297"/>
      <c r="K66"/>
    </row>
    <row r="67" spans="1:11" ht="13.5" thickTop="1" thickBot="1" x14ac:dyDescent="0.3">
      <c r="A67" s="296">
        <v>51</v>
      </c>
      <c r="B67" s="286">
        <v>44137</v>
      </c>
      <c r="C67" s="274" t="s">
        <v>1796</v>
      </c>
      <c r="D67" s="297"/>
      <c r="E67" s="298"/>
      <c r="F67" s="297"/>
      <c r="G67" s="297"/>
      <c r="H67" s="297"/>
      <c r="I67" s="299"/>
      <c r="J67" s="297"/>
      <c r="K67"/>
    </row>
    <row r="68" spans="1:11" x14ac:dyDescent="0.25">
      <c r="K68"/>
    </row>
    <row r="69" spans="1:11" x14ac:dyDescent="0.25">
      <c r="K69"/>
    </row>
    <row r="70" spans="1:11" ht="11.5" customHeight="1" x14ac:dyDescent="0.25">
      <c r="K70"/>
    </row>
    <row r="71" spans="1:11" ht="11.5" customHeight="1" x14ac:dyDescent="0.25">
      <c r="K71"/>
    </row>
    <row r="72" spans="1:11" ht="11.5" customHeight="1" x14ac:dyDescent="0.25">
      <c r="K72"/>
    </row>
    <row r="73" spans="1:11" x14ac:dyDescent="0.25">
      <c r="K73"/>
    </row>
    <row r="74" spans="1:11" x14ac:dyDescent="0.25">
      <c r="K74"/>
    </row>
    <row r="75" spans="1:11" x14ac:dyDescent="0.25">
      <c r="K75"/>
    </row>
    <row r="76" spans="1:11" x14ac:dyDescent="0.25">
      <c r="K76"/>
    </row>
    <row r="77" spans="1:11" x14ac:dyDescent="0.25">
      <c r="K77"/>
    </row>
    <row r="78" spans="1:11" x14ac:dyDescent="0.25">
      <c r="K78"/>
    </row>
    <row r="79" spans="1:11" x14ac:dyDescent="0.25">
      <c r="K79"/>
    </row>
    <row r="80" spans="1:11" x14ac:dyDescent="0.25">
      <c r="K80"/>
    </row>
    <row r="81" spans="11:11" x14ac:dyDescent="0.25">
      <c r="K81"/>
    </row>
    <row r="82" spans="11:11" x14ac:dyDescent="0.25">
      <c r="K82"/>
    </row>
    <row r="83" spans="11:11" x14ac:dyDescent="0.25">
      <c r="K83"/>
    </row>
    <row r="84" spans="11:11" x14ac:dyDescent="0.25">
      <c r="K84"/>
    </row>
    <row r="85" spans="11:11" x14ac:dyDescent="0.25">
      <c r="K85"/>
    </row>
    <row r="86" spans="11:11" x14ac:dyDescent="0.25">
      <c r="K86"/>
    </row>
    <row r="87" spans="11:11" x14ac:dyDescent="0.25">
      <c r="K87"/>
    </row>
    <row r="88" spans="11:11" x14ac:dyDescent="0.25">
      <c r="K88"/>
    </row>
    <row r="89" spans="11:11" x14ac:dyDescent="0.25">
      <c r="K89"/>
    </row>
    <row r="90" spans="11:11" x14ac:dyDescent="0.25">
      <c r="K90"/>
    </row>
    <row r="91" spans="11:11" x14ac:dyDescent="0.25">
      <c r="K91"/>
    </row>
    <row r="92" spans="11:11" x14ac:dyDescent="0.25">
      <c r="K92"/>
    </row>
    <row r="93" spans="11:11" x14ac:dyDescent="0.25">
      <c r="K93"/>
    </row>
    <row r="94" spans="11:11" x14ac:dyDescent="0.25">
      <c r="K94"/>
    </row>
    <row r="95" spans="11:11" x14ac:dyDescent="0.25">
      <c r="K95"/>
    </row>
    <row r="96" spans="11:11" x14ac:dyDescent="0.25">
      <c r="K96"/>
    </row>
    <row r="97" spans="2:12" x14ac:dyDescent="0.25">
      <c r="K97"/>
    </row>
    <row r="98" spans="2:12" x14ac:dyDescent="0.25">
      <c r="K98"/>
    </row>
    <row r="99" spans="2:12" x14ac:dyDescent="0.25">
      <c r="K99"/>
    </row>
    <row r="100" spans="2:12" x14ac:dyDescent="0.25">
      <c r="K100"/>
    </row>
    <row r="101" spans="2:12" x14ac:dyDescent="0.25">
      <c r="K101"/>
    </row>
    <row r="102" spans="2:12" x14ac:dyDescent="0.25">
      <c r="K102"/>
    </row>
    <row r="103" spans="2:12" x14ac:dyDescent="0.25">
      <c r="K103"/>
    </row>
    <row r="104" spans="2:12" x14ac:dyDescent="0.25">
      <c r="K104"/>
    </row>
    <row r="105" spans="2:12" ht="14.5" x14ac:dyDescent="0.35">
      <c r="B105" s="221"/>
      <c r="C105" s="6"/>
      <c r="L105" s="223"/>
    </row>
    <row r="106" spans="2:12" ht="14.5" x14ac:dyDescent="0.35">
      <c r="B106" s="221"/>
      <c r="C106" s="6"/>
      <c r="L106" s="223"/>
    </row>
    <row r="107" spans="2:12" x14ac:dyDescent="0.25">
      <c r="C107" s="6"/>
    </row>
    <row r="108" spans="2:12" x14ac:dyDescent="0.25">
      <c r="C108" s="6"/>
    </row>
  </sheetData>
  <conditionalFormatting sqref="A17:J63">
    <cfRule type="expression" dxfId="20" priority="4">
      <formula>$G17=$A$10</formula>
    </cfRule>
    <cfRule type="expression" dxfId="19" priority="5">
      <formula>$G17=$A$12</formula>
    </cfRule>
    <cfRule type="expression" dxfId="18" priority="6">
      <formula>$G17=$A$11</formula>
    </cfRule>
  </conditionalFormatting>
  <conditionalFormatting sqref="A64:J67">
    <cfRule type="expression" dxfId="17" priority="1">
      <formula>$G64=$A$10</formula>
    </cfRule>
    <cfRule type="expression" dxfId="16" priority="2">
      <formula>$G64=$A$12</formula>
    </cfRule>
    <cfRule type="expression" dxfId="15" priority="3">
      <formula>$G64=$A$11</formula>
    </cfRule>
  </conditionalFormatting>
  <dataValidations count="1">
    <dataValidation type="list" allowBlank="1" showInputMessage="1" showErrorMessage="1" sqref="G17:G67">
      <formula1>$A$10:$A$13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VAP100AE</vt:lpstr>
      <vt:lpstr>VB3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2020-11-03T16:19:27Z</dcterms:modified>
</cp:coreProperties>
</file>