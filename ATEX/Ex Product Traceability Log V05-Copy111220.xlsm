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4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E11" i="11" l="1"/>
  <c r="AJ11" i="11" s="1"/>
  <c r="AF11" i="11"/>
  <c r="AG11" i="11"/>
  <c r="AH11" i="11"/>
  <c r="AI11" i="11"/>
  <c r="AK11" i="11"/>
  <c r="AE10" i="11"/>
  <c r="AJ10" i="11" s="1"/>
  <c r="AF10" i="11"/>
  <c r="AG10" i="11"/>
  <c r="AH10" i="11"/>
  <c r="AI10" i="11"/>
  <c r="AK10" i="11"/>
  <c r="G12" i="10" l="1"/>
  <c r="L12" i="10" s="1"/>
  <c r="K12" i="10"/>
  <c r="F11" i="11" l="1"/>
  <c r="J11" i="11" s="1"/>
  <c r="AE9" i="11" l="1"/>
  <c r="AF9" i="11" s="1"/>
  <c r="AG9" i="11"/>
  <c r="AH9" i="11"/>
  <c r="AI9" i="11"/>
  <c r="AJ9" i="11"/>
  <c r="AK9" i="11"/>
  <c r="AE8" i="11" l="1"/>
  <c r="AF8" i="11" s="1"/>
  <c r="AG8" i="11"/>
  <c r="AH8" i="11"/>
  <c r="AI8" i="11"/>
  <c r="AJ8" i="11"/>
  <c r="AK8" i="11"/>
  <c r="AE7" i="11"/>
  <c r="AF7" i="11" s="1"/>
  <c r="AG7" i="11"/>
  <c r="AH7" i="11"/>
  <c r="AI7" i="11"/>
  <c r="AJ7" i="11"/>
  <c r="AK7" i="11"/>
  <c r="AG8" i="10"/>
  <c r="AH8" i="10" s="1"/>
  <c r="AI8" i="10"/>
  <c r="AJ8" i="10"/>
  <c r="AK8" i="10"/>
  <c r="AL8" i="10"/>
  <c r="S8" i="10"/>
  <c r="W8" i="10" s="1"/>
  <c r="X8" i="10"/>
  <c r="G11" i="10" l="1"/>
  <c r="K11" i="10" s="1"/>
  <c r="L11" i="10"/>
  <c r="F10" i="11" l="1"/>
  <c r="J10" i="11" s="1"/>
  <c r="F9" i="11"/>
  <c r="J9" i="11" s="1"/>
  <c r="F8" i="11" l="1"/>
  <c r="J8" i="11" s="1"/>
  <c r="F7" i="11"/>
  <c r="J7" i="11" s="1"/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D7" i="8"/>
  <c r="H7" i="8" s="1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<sst xmlns="http://schemas.openxmlformats.org/spreadsheetml/2006/main" count="5306" uniqueCount="1901">
  <si>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</si>
  <si>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</si>
  <si>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</si>
  <si>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</si>
  <si>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</si>
  <si>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</si>
  <si>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</si>
  <si>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</si>
  <si>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</si>
  <si>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</si>
  <si>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</si>
  <si>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</si>
  <si>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</si>
  <si>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</si>
  <si>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</si>
  <si>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</si>
  <si>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</si>
  <si>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</si>
  <si>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</si>
  <si>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</si>
  <si>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</si>
  <si>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</si>
  <si>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</si>
  <si>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</si>
  <si>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</si>
  <si>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</si>
  <si>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</si>
  <si>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</si>
  <si>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</si>
  <si>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</si>
  <si>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</si>
  <si>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</si>
  <si>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</si>
  <si>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</si>
  <si>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</si>
  <si>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</si>
  <si>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</si>
  <si>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</si>
  <si>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</si>
  <si>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</si>
  <si>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</si>
  <si>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</si>
  <si>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</si>
  <si>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</si>
  <si>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</si>
  <si>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</si>
  <si>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</si>
  <si>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</si>
  <si>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</si>
  <si>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</si>
  <si>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</si>
  <si>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</si>
  <si>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</si>
  <si>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</si>
  <si>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</si>
  <si>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</si>
  <si>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</si>
  <si>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</si>
  <si>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</si>
  <si>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</si>
  <si>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</si>
  <si>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</si>
  <si>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</si>
  <si>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</si>
  <si>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</si>
  <si>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</si>
  <si>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</si>
  <si>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</si>
  <si>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</si>
  <si>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</si>
  <si>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</si>
  <si>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</si>
  <si>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</si>
  <si>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</si>
  <si>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</si>
  <si>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</si>
  <si>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</si>
  <si>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</si>
  <si>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</si>
  <si>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</si>
  <si>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</si>
  <si>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</si>
  <si>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</si>
  <si>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</si>
  <si>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</si>
  <si>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</si>
  <si>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</si>
  <si>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</si>
  <si>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</si>
  <si>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</si>
  <si>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</si>
  <si>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</si>
  <si>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</si>
  <si>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</si>
  <si>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</si>
  <si>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</si>
  <si>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</si>
  <si>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</si>
  <si>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</si>
  <si>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</si>
  <si>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</si>
  <si>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</si>
  <si>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</si>
  <si>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</si>
  <si>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</si>
  <si>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</si>
  <si>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</si>
  <si>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</si>
  <si>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</si>
  <si>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</si>
  <si>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</si>
  <si>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</si>
  <si>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</si>
  <si>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</si>
  <si>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</si>
  <si>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</si>
  <si>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</si>
  <si>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</si>
  <si>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</si>
  <si>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</si>
  <si>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</si>
  <si>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</si>
  <si>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</si>
  <si>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</si>
  <si>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</si>
  <si>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</si>
  <si>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</si>
  <si>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</si>
  <si>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</si>
  <si>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</si>
  <si>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</si>
  <si>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</si>
  <si>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</si>
  <si>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</si>
  <si>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</si>
  <si>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</si>
  <si>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</si>
  <si>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</si>
  <si>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</si>
  <si>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</si>
  <si>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</si>
  <si>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</si>
  <si>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</si>
  <si>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</si>
  <si>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</si>
  <si>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</si>
  <si>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</si>
  <si>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</si>
  <si>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</si>
  <si>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</si>
  <si>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</si>
  <si>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</si>
  <si>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</si>
  <si>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</si>
  <si>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</si>
  <si>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</si>
  <si>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</si>
  <si>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</si>
  <si>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</si>
  <si>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</si>
  <si>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</si>
  <si>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</si>
  <si>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</si>
  <si>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</si>
  <si>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</si>
  <si>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</si>
  <si>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</si>
  <si>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</si>
  <si>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</si>
  <si>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</si>
  <si>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</si>
  <si>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</si>
  <si>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</si>
  <si>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</si>
  <si>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</si>
  <si>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</si>
  <si>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</si>
  <si>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</si>
  <si>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</si>
  <si>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</si>
  <si>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</si>
  <si>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</si>
  <si>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</si>
  <si>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</si>
  <si>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</si>
  <si>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</si>
  <si>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</si>
  <si>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</si>
  <si>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</si>
  <si>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</si>
  <si>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</si>
  <si>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</si>
  <si>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</si>
  <si>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</si>
  <si>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</si>
  <si>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</si>
  <si>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</si>
  <si>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</si>
  <si>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</si>
  <si>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</si>
  <si>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</si>
  <si>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</si>
  <si>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</si>
  <si>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</si>
  <si>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</si>
  <si>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</si>
  <si>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</si>
  <si>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</si>
  <si>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</si>
  <si>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</si>
  <si>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</si>
  <si>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</si>
  <si>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</si>
  <si>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</si>
  <si>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</si>
  <si>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</si>
  <si>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</si>
  <si>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</si>
  <si>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</si>
  <si>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</si>
  <si>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</si>
  <si>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</si>
  <si>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</si>
  <si>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</si>
  <si>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</si>
  <si>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</si>
  <si>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</si>
  <si>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</si>
  <si>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</si>
  <si>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</si>
  <si>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</si>
  <si>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</si>
  <si>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</si>
  <si>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</si>
  <si>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</si>
  <si>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</si>
  <si>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</si>
  <si>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</si>
  <si>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</si>
  <si>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</si>
  <si>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</si>
  <si>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</si>
  <si>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</si>
  <si>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</si>
  <si>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</si>
  <si>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</si>
  <si>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</si>
  <si>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</si>
  <si>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</si>
  <si>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</si>
  <si>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</si>
  <si>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</si>
  <si>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</si>
  <si>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</si>
  <si>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</si>
  <si>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</si>
  <si>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</si>
  <si>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</si>
  <si>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</si>
  <si>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</si>
  <si>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</si>
  <si>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</si>
  <si>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</si>
  <si>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</si>
  <si>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</si>
  <si>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</si>
  <si>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</si>
  <si>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</si>
  <si>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</si>
  <si>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</si>
  <si>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</si>
  <si>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</si>
  <si>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</si>
  <si>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</si>
  <si>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</si>
  <si>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</si>
  <si>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</si>
  <si>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</si>
  <si>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</si>
  <si>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</si>
  <si>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</si>
  <si>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</si>
  <si>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</si>
  <si>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</si>
  <si>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</si>
  <si>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</si>
  <si>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</si>
  <si>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</si>
  <si>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</si>
  <si>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</si>
  <si>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</si>
  <si>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</si>
  <si>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</si>
  <si>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</si>
  <si>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</si>
  <si>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</si>
  <si>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</si>
  <si>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</si>
  <si>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</si>
  <si>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</si>
  <si>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</si>
  <si>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</si>
  <si>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</si>
  <si>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</si>
  <si>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</si>
  <si>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</si>
  <si>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</si>
  <si>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</si>
  <si>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</si>
  <si>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</si>
  <si>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</si>
  <si>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</si>
  <si>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</si>
  <si>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</si>
  <si>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</si>
  <si>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</si>
  <si>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</si>
  <si>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</si>
  <si>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</si>
  <si>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</si>
  <si>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</si>
  <si>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</si>
  <si>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</si>
  <si>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</si>
  <si>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</si>
  <si>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</si>
  <si>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</si>
  <si>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</si>
  <si>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</si>
  <si>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</si>
  <si>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</si>
  <si>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</si>
  <si>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</si>
  <si>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</si>
  <si>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</si>
  <si>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</si>
  <si>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</si>
  <si>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</si>
  <si>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</si>
  <si>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</si>
  <si>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</si>
  <si>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</si>
  <si>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</si>
  <si>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</si>
  <si>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</si>
  <si>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</si>
  <si>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</si>
  <si>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</si>
  <si>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</si>
  <si>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</si>
  <si>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</si>
  <si>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</si>
  <si>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</si>
  <si>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</si>
  <si>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</si>
  <si>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</si>
  <si>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</si>
  <si>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</si>
  <si>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</si>
  <si>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</si>
  <si>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</si>
  <si>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</si>
  <si>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</si>
  <si>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</si>
  <si>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</si>
  <si>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</si>
  <si>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</si>
  <si>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</si>
  <si>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</si>
  <si>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</si>
  <si>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</si>
  <si>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</si>
  <si>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</si>
  <si>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</si>
  <si>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</si>
  <si>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</si>
  <si>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</si>
  <si>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</si>
  <si>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</si>
  <si>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</si>
  <si>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</si>
  <si>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</si>
  <si>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</si>
  <si>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</si>
  <si>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</si>
  <si>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</si>
  <si>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</si>
  <si>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</si>
  <si>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</si>
  <si>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</si>
  <si>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</si>
  <si>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</si>
  <si>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</si>
  <si>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</si>
  <si>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</si>
  <si>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</si>
  <si>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</si>
  <si>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</si>
  <si>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</si>
  <si>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</si>
  <si>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</si>
  <si>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</si>
  <si>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</si>
  <si>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</si>
  <si>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</si>
  <si>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</si>
  <si>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</si>
  <si>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</si>
  <si>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</si>
  <si>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</si>
  <si>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</si>
  <si>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</si>
  <si>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</si>
  <si>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</si>
  <si>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</si>
  <si>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</si>
  <si>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</si>
  <si>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</si>
  <si>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</si>
  <si>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</si>
  <si>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</si>
  <si>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</si>
  <si>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</si>
  <si>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</si>
  <si>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</si>
  <si>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</si>
  <si>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</si>
  <si>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</si>
  <si>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</si>
  <si>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</si>
  <si>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</si>
  <si>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</si>
  <si>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</si>
  <si>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</si>
  <si>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</si>
  <si>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</si>
  <si>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</si>
  <si>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</si>
  <si>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</si>
  <si>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</si>
  <si>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</si>
  <si>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</si>
  <si>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</si>
  <si>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</si>
  <si>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</si>
  <si>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</si>
  <si>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</si>
  <si>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</si>
  <si>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</si>
  <si>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</si>
  <si>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</si>
  <si>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</si>
  <si>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</si>
  <si>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</si>
  <si>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</si>
  <si>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</si>
  <si>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</si>
  <si>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</si>
  <si>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</si>
  <si>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</si>
  <si>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</si>
  <si>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</si>
  <si>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</si>
  <si>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</si>
  <si>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</si>
  <si>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</si>
  <si>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</si>
  <si>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</si>
  <si>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</si>
  <si>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</si>
  <si>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</si>
  <si>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</si>
  <si>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</si>
  <si>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</si>
  <si>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</si>
  <si>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</si>
  <si>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</si>
  <si>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</si>
  <si>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</si>
  <si>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</si>
  <si>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</si>
  <si>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</si>
  <si>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</si>
  <si>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</si>
  <si>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</si>
  <si>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</si>
  <si>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</si>
  <si>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</si>
  <si>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</si>
  <si>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</si>
  <si>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</si>
  <si>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</si>
  <si>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</si>
  <si>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</si>
  <si>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</si>
  <si>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</si>
  <si>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</si>
  <si>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</si>
  <si>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</si>
  <si>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</si>
  <si>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</si>
  <si>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</si>
  <si>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</si>
  <si>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</si>
  <si>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</si>
  <si>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</si>
  <si>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</si>
  <si>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</si>
  <si>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</si>
  <si>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</si>
  <si>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</si>
  <si>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</si>
  <si>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</si>
  <si>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</si>
  <si>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</si>
  <si>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</si>
  <si>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</si>
  <si>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</si>
  <si>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</si>
  <si>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</si>
  <si>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</si>
  <si>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</si>
  <si>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</si>
  <si>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</si>
  <si>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</si>
  <si>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</si>
  <si>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</si>
  <si>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</si>
  <si>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</si>
  <si>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</si>
  <si>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</si>
  <si>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</si>
  <si>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</si>
  <si>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</si>
  <si>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</si>
  <si>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</si>
  <si>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</si>
  <si>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</si>
  <si>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</si>
  <si>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</si>
  <si>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</si>
  <si>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</si>
  <si>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</si>
  <si>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</si>
  <si>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</si>
  <si>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</si>
  <si>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</si>
  <si>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</si>
  <si>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</si>
  <si>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</si>
  <si>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</si>
  <si>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</si>
  <si>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</si>
  <si>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</si>
  <si>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</si>
  <si>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</si>
  <si>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</si>
  <si>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</si>
  <si>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</si>
  <si>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</si>
  <si>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</si>
  <si>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</si>
  <si>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</si>
  <si>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</si>
  <si>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</si>
  <si>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</si>
  <si>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</si>
  <si>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</si>
  <si>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</si>
  <si>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</si>
  <si>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</si>
  <si>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</si>
  <si>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</si>
  <si>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</si>
  <si>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</si>
  <si>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</si>
  <si>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</si>
  <si>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</si>
  <si>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</si>
  <si>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</si>
  <si>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</si>
  <si>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</si>
  <si>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</si>
  <si>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</si>
  <si>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</si>
  <si>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</si>
  <si>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</si>
  <si>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</si>
  <si>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</si>
  <si>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</si>
  <si>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</si>
  <si>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</si>
  <si>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</si>
  <si>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</si>
  <si>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</si>
  <si>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</si>
  <si>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</si>
  <si>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</si>
  <si>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</si>
  <si>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</si>
  <si>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</si>
  <si>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</si>
  <si>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</si>
  <si>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</si>
  <si>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</si>
  <si>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</si>
  <si>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</si>
  <si>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</si>
  <si>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</si>
  <si>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</si>
  <si>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</si>
  <si>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</si>
  <si>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</si>
  <si>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</si>
  <si>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</si>
  <si>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</si>
  <si>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</si>
  <si>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</si>
  <si>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</si>
  <si>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</si>
  <si>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</si>
  <si>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</si>
  <si>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</si>
  <si>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</si>
  <si>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</si>
  <si>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</si>
  <si>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</si>
  <si>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</si>
  <si>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</si>
  <si>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</si>
  <si>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</si>
  <si>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</si>
  <si>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</si>
  <si>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</si>
  <si>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</si>
  <si>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</si>
  <si>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</si>
  <si>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</si>
  <si>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</si>
  <si>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</si>
  <si>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</si>
  <si>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</si>
  <si>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</si>
  <si>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</si>
  <si>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</si>
  <si>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</si>
  <si>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</si>
  <si>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</si>
  <si>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</si>
  <si>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</si>
  <si>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</si>
  <si>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</si>
  <si>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</si>
  <si>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</si>
  <si>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</si>
  <si>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</si>
  <si>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</si>
  <si>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</si>
  <si>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</si>
  <si>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</si>
  <si>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</si>
  <si>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</si>
  <si>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</si>
  <si>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</si>
  <si>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</si>
  <si>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</si>
  <si>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</si>
  <si>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</si>
  <si>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</si>
  <si>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</si>
  <si>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</si>
  <si>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</si>
  <si>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</si>
  <si>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</si>
  <si>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</si>
  <si>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</si>
  <si>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</si>
  <si>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</si>
  <si>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</si>
  <si>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</si>
  <si>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</si>
  <si>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</si>
  <si>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</si>
  <si>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</si>
  <si>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</si>
  <si>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</si>
  <si>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</si>
  <si>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</si>
  <si>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</si>
  <si>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</si>
  <si>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</si>
  <si>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</si>
  <si>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</si>
  <si>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</si>
  <si>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</si>
  <si>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</si>
  <si>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</si>
  <si>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</si>
  <si>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</si>
  <si>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</si>
  <si>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</si>
  <si>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</si>
  <si>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</si>
  <si>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</si>
  <si>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</si>
  <si>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</si>
  <si>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</si>
  <si>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</si>
  <si>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</si>
  <si>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</si>
  <si>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</si>
  <si>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</si>
  <si>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</si>
  <si>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</si>
  <si>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</si>
  <si>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</si>
  <si>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</si>
  <si>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</si>
  <si>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</si>
  <si>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</si>
  <si>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</si>
  <si>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</si>
  <si>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</si>
  <si>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</si>
  <si>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</si>
  <si>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</si>
  <si>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</si>
  <si>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</si>
  <si>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</si>
  <si>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</si>
  <si>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</si>
  <si>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</si>
  <si>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</si>
  <si>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</si>
  <si>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</si>
  <si>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</si>
  <si>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</si>
  <si>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</si>
  <si>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</si>
  <si>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</si>
  <si>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</si>
  <si>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</si>
  <si>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</si>
  <si>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</si>
  <si>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</si>
  <si>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</si>
  <si>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</si>
  <si>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</si>
  <si>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</si>
  <si>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</si>
  <si>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</si>
  <si>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</si>
  <si>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</si>
  <si>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</si>
  <si>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</si>
  <si>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</si>
  <si>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</si>
  <si>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</si>
  <si>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</si>
  <si>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</si>
  <si>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</si>
  <si>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</si>
  <si>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</si>
  <si>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</si>
  <si>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</si>
  <si>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</si>
  <si>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</si>
  <si>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</si>
  <si>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</si>
  <si>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</si>
  <si>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</si>
  <si>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</si>
  <si>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</si>
  <si>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</si>
  <si>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</si>
  <si>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</si>
  <si>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</si>
  <si>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</si>
  <si>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</si>
  <si>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</si>
  <si>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</si>
  <si>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</si>
  <si>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</si>
  <si>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</si>
  <si>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</si>
  <si>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</si>
  <si>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</si>
  <si>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</si>
  <si>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</si>
  <si>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</si>
  <si>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</si>
  <si>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</si>
  <si>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</si>
  <si>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</si>
  <si>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</si>
  <si>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</si>
  <si>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</si>
  <si>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</si>
  <si>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</si>
  <si>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</si>
  <si>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</si>
  <si>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</si>
  <si>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</si>
  <si>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</si>
  <si>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</si>
  <si>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</si>
  <si>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</si>
  <si>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</si>
  <si>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</si>
  <si>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</si>
  <si>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</si>
  <si>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</si>
  <si>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</si>
  <si>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</si>
  <si>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</si>
  <si>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</si>
  <si>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</si>
  <si>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</si>
  <si>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</si>
  <si>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</si>
  <si>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</si>
  <si>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</si>
  <si>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</si>
  <si>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</si>
  <si>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</si>
  <si>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</si>
  <si>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</si>
  <si>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</si>
  <si>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</si>
  <si>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</si>
  <si>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</si>
  <si>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</si>
  <si>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</si>
  <si>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</si>
  <si>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</si>
  <si>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</si>
  <si>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</si>
  <si>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</si>
  <si>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</si>
  <si>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</si>
  <si>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</si>
  <si>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</si>
  <si>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</si>
  <si>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</si>
  <si>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</si>
  <si>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</si>
  <si>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</si>
  <si>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</si>
  <si>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</si>
  <si>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</si>
  <si>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</si>
  <si>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</si>
  <si>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</si>
  <si>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</si>
  <si>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</si>
  <si>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</si>
  <si>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</si>
  <si>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</si>
  <si>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</si>
  <si>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</si>
  <si>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</si>
  <si>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</si>
  <si>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</si>
  <si>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</si>
  <si>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</si>
  <si>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</si>
  <si>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</si>
  <si>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</si>
  <si>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</si>
  <si>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</si>
  <si>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</si>
  <si>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</si>
  <si>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</si>
  <si>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</si>
  <si>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</si>
  <si>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</si>
  <si>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</si>
  <si>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</si>
  <si>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</si>
  <si>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</si>
  <si>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</si>
  <si>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</si>
  <si>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</si>
  <si>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</si>
  <si>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</si>
  <si>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</si>
  <si>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</si>
  <si>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</si>
  <si>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</si>
  <si>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</si>
  <si>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</si>
  <si>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</si>
  <si>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</si>
  <si>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</si>
  <si>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</si>
  <si>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</si>
  <si>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</si>
  <si>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</si>
  <si>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</si>
  <si>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</si>
  <si>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</si>
  <si>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</si>
  <si>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</si>
  <si>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</si>
  <si>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</si>
  <si>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</si>
  <si>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</si>
  <si>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</si>
  <si>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</si>
  <si>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</si>
  <si>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</si>
  <si>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</si>
  <si>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</si>
  <si>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</si>
  <si>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</si>
  <si>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</si>
  <si>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</si>
  <si>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</si>
  <si>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</si>
  <si>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</si>
  <si>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</si>
  <si>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</si>
  <si>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</si>
  <si>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</si>
  <si>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</si>
  <si>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</si>
  <si>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</si>
  <si>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</si>
  <si>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</si>
  <si>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</si>
  <si>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</si>
  <si>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</si>
  <si>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</si>
  <si>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</si>
  <si>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</si>
  <si>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</si>
  <si>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</si>
  <si>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</si>
  <si>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</si>
  <si>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</si>
  <si>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</si>
  <si>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</si>
  <si>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</si>
  <si>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</si>
  <si>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</si>
  <si>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</si>
  <si>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</si>
  <si>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</si>
  <si>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</si>
  <si>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</si>
  <si>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</si>
  <si>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</si>
  <si>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</si>
  <si>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</si>
  <si>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</si>
  <si>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</si>
  <si>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</si>
  <si>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</si>
  <si>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</si>
  <si>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</si>
  <si>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</si>
  <si>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</si>
  <si>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</si>
  <si>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</si>
  <si>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</si>
  <si>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</si>
  <si>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</si>
  <si>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</si>
  <si>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</si>
  <si>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</si>
  <si>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</si>
  <si>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</si>
  <si>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</si>
  <si>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</si>
  <si>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</si>
  <si>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</si>
  <si>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</si>
  <si>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</si>
  <si>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</si>
  <si>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</si>
  <si>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</si>
  <si>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</si>
  <si>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</si>
  <si>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</si>
  <si>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</si>
  <si>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</si>
  <si>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</si>
  <si>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</si>
  <si>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</si>
  <si>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</si>
  <si>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</si>
  <si>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</si>
  <si>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</si>
  <si>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</si>
  <si>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</si>
  <si>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</si>
  <si>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</si>
  <si>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</si>
  <si>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</si>
  <si>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</si>
  <si>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</si>
  <si>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</si>
  <si>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</si>
  <si>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</si>
  <si>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</si>
  <si>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</si>
  <si>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</si>
  <si>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</si>
  <si>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</si>
  <si>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</si>
  <si>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</si>
  <si>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</si>
  <si>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</si>
  <si>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</si>
  <si>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</si>
  <si>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</si>
  <si>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</si>
  <si>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</si>
  <si>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</si>
  <si>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</si>
  <si>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</si>
  <si>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</si>
  <si>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</si>
  <si>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</si>
  <si>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</si>
  <si>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</si>
  <si>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</si>
  <si>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</si>
  <si>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</si>
  <si>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</si>
  <si>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</si>
  <si>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</si>
  <si>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</si>
  <si>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</si>
  <si>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</si>
  <si>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</si>
  <si>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</si>
  <si>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</si>
  <si>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</si>
  <si>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</si>
  <si>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</si>
  <si>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</si>
  <si>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</si>
  <si>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</si>
  <si>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</si>
  <si>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</si>
  <si>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</si>
  <si>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</si>
  <si>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</si>
  <si>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</si>
  <si>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</si>
  <si>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</si>
  <si>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</si>
  <si>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</si>
  <si>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</si>
  <si>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</si>
  <si>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</si>
  <si>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</si>
  <si>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</si>
  <si>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</si>
  <si>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</si>
  <si>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</si>
  <si>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</si>
  <si>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</si>
  <si>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</si>
  <si>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</si>
  <si>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</si>
  <si>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</si>
  <si>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</si>
  <si>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</si>
  <si>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</si>
  <si>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</si>
  <si>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</si>
  <si>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</si>
  <si>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</si>
  <si>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</si>
  <si>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</si>
  <si>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</si>
  <si>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</si>
  <si>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</si>
  <si>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</si>
  <si>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</si>
  <si>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</si>
  <si>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</si>
  <si>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</si>
  <si>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</si>
  <si>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</si>
  <si>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</si>
  <si>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</si>
  <si>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</si>
  <si>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</si>
  <si>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</si>
  <si>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</si>
  <si>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</si>
  <si>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</si>
  <si>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</si>
  <si>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</si>
  <si>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</si>
  <si>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</si>
  <si>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</si>
  <si>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</si>
  <si>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</si>
  <si>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</si>
  <si>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</si>
  <si>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</si>
  <si>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</si>
  <si>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</si>
  <si>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</si>
  <si>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</si>
  <si>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</si>
  <si>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</si>
  <si>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</si>
  <si>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</si>
  <si>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</si>
  <si>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</si>
  <si>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</si>
  <si>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</si>
  <si>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</si>
  <si>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</si>
  <si>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</si>
  <si>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</si>
  <si>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</si>
  <si>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</si>
  <si>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</si>
  <si>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</si>
  <si>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</si>
  <si>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</si>
  <si>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</si>
  <si>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</si>
  <si>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</si>
  <si>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</si>
  <si>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</si>
  <si>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</si>
  <si>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</si>
  <si>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</si>
  <si>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</si>
  <si>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</si>
  <si>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</si>
  <si>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</si>
  <si>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</si>
  <si>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</si>
  <si>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</si>
  <si>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</si>
  <si>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</si>
  <si>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</si>
  <si>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</si>
  <si>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</si>
  <si>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</si>
  <si>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</si>
  <si>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</si>
  <si>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</si>
  <si>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</si>
  <si>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</si>
  <si>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</si>
  <si>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</si>
  <si>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</si>
  <si>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</si>
  <si>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</si>
  <si>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</si>
  <si>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</si>
  <si>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</si>
  <si>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</si>
  <si>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</si>
  <si>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</si>
  <si>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</si>
  <si>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</si>
  <si>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</si>
  <si>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</si>
  <si>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</si>
  <si>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</si>
  <si>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</si>
  <si>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</si>
  <si>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</si>
  <si>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</si>
  <si>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</si>
  <si>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</si>
  <si>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</si>
  <si>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</si>
  <si>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</si>
  <si>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</si>
  <si>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</si>
  <si>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</si>
  <si>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</si>
  <si>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</si>
  <si>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</si>
  <si>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</si>
  <si>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</si>
  <si>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</si>
  <si>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</si>
  <si>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</si>
  <si>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</si>
  <si>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</si>
  <si>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</si>
  <si>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</si>
  <si>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</si>
  <si>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</si>
  <si>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</si>
  <si>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</si>
  <si>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</si>
  <si>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</si>
  <si>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</si>
  <si>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</si>
  <si>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</si>
  <si>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</si>
  <si>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</si>
  <si>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</si>
  <si>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</si>
  <si>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</si>
  <si>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</si>
  <si>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</si>
  <si>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</si>
  <si>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</si>
  <si>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</si>
  <si>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</si>
  <si>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</si>
  <si>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</si>
  <si>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</si>
  <si>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</si>
  <si>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</si>
  <si>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</si>
  <si>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</si>
  <si>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</si>
  <si>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</si>
  <si>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</si>
  <si>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</si>
  <si>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</si>
  <si>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</si>
  <si>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</si>
  <si>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</si>
  <si>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</si>
  <si>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</si>
  <si>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</si>
  <si>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</si>
  <si>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</si>
  <si>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</si>
  <si>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</si>
  <si>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</si>
  <si>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</si>
  <si>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</si>
  <si>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</si>
  <si>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</si>
  <si>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</si>
  <si>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</si>
  <si>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</si>
  <si>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</si>
  <si>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</si>
  <si>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</si>
  <si>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</si>
  <si>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</si>
  <si>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</si>
  <si>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</si>
  <si>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</si>
  <si>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</si>
  <si>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</si>
  <si>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</si>
  <si>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</si>
  <si>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</si>
  <si>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</si>
  <si>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</si>
  <si>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</si>
  <si>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</si>
  <si>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</si>
  <si>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</si>
  <si>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</si>
  <si>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</si>
  <si>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</si>
  <si>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</si>
  <si>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</si>
  <si>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</si>
  <si>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</si>
  <si>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</si>
  <si>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</si>
  <si>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</si>
  <si>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</si>
  <si>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</si>
  <si>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</si>
  <si>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</si>
  <si>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</si>
  <si>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</si>
  <si>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</si>
  <si>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</si>
  <si>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</si>
  <si>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</si>
  <si>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</si>
  <si>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</si>
  <si>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</si>
  <si>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</si>
  <si>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</si>
  <si>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</si>
  <si>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</si>
  <si>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</si>
  <si>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</si>
  <si>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</si>
  <si>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</si>
  <si>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</si>
  <si>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</si>
  <si>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</si>
  <si>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</si>
  <si>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</si>
  <si>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</si>
  <si>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</si>
  <si>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</si>
  <si>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</si>
  <si>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</si>
  <si>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</si>
  <si>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</si>
  <si>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</si>
  <si>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</si>
  <si>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</si>
  <si>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</si>
  <si>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</si>
  <si>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</si>
  <si>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</si>
  <si>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</si>
  <si>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</si>
  <si>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</si>
  <si>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</si>
  <si>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</si>
  <si>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</si>
  <si>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</si>
  <si>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</si>
  <si>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</si>
  <si>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</si>
  <si>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</si>
  <si>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</si>
  <si>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</si>
  <si>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</si>
  <si>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</si>
  <si>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</si>
  <si>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</si>
  <si>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</si>
  <si>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</si>
  <si>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</si>
  <si>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</si>
  <si>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</si>
  <si>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</si>
  <si>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</si>
  <si>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</si>
  <si>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</si>
  <si>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</si>
  <si>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</si>
  <si>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</si>
  <si>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</si>
  <si>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</si>
  <si>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</si>
  <si>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</si>
  <si>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</si>
  <si>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</si>
  <si>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</si>
  <si>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</si>
  <si>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</si>
  <si>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</si>
  <si>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</si>
  <si>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</si>
  <si>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</si>
  <si>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</si>
  <si>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</si>
  <si>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</si>
  <si>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</si>
  <si>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</si>
  <si>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</si>
  <si>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</si>
  <si>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</si>
  <si>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</si>
  <si>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</si>
  <si>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</si>
  <si>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</si>
  <si>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</si>
  <si>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</si>
  <si>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</si>
  <si>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</si>
  <si>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</si>
  <si>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</si>
  <si>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</si>
  <si>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</si>
  <si>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</si>
  <si>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</si>
  <si>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</si>
  <si>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</si>
  <si>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</si>
  <si>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</si>
  <si>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</si>
  <si>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</si>
  <si>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</si>
  <si>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</si>
  <si>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</si>
  <si>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</si>
  <si>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</si>
  <si>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</si>
  <si>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</si>
  <si>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</si>
  <si>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</si>
  <si>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</si>
  <si>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</si>
  <si>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</si>
  <si>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</si>
  <si>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</si>
  <si>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</si>
  <si>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</si>
  <si>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</si>
  <si>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</si>
  <si>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</si>
  <si>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</si>
  <si>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</si>
  <si>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</si>
  <si>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</si>
  <si>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</si>
  <si>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</si>
  <si>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</si>
  <si>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</si>
  <si>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</si>
  <si>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</si>
  <si>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</si>
  <si>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</si>
  <si>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</si>
  <si>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</si>
  <si>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</si>
  <si>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</si>
  <si>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</si>
  <si>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</si>
  <si>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</si>
  <si>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</si>
  <si>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</si>
  <si>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</si>
  <si>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</si>
  <si>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</si>
  <si>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</si>
  <si>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</si>
  <si>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</si>
  <si>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</si>
  <si>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</si>
  <si>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</si>
  <si>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</si>
  <si>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</si>
  <si>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</si>
  <si>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</si>
  <si>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</si>
  <si>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</si>
  <si>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</si>
  <si>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</si>
  <si>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</si>
  <si>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</si>
  <si>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</si>
  <si>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</si>
  <si>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</si>
  <si>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</si>
  <si>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</si>
  <si>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</si>
  <si>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</si>
  <si>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</si>
  <si>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</si>
  <si>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</si>
  <si>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</si>
  <si>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</si>
  <si>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</si>
  <si>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</si>
  <si>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</si>
  <si>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</si>
  <si>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</si>
  <si>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</si>
  <si>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</si>
  <si>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</si>
  <si>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</si>
  <si>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</si>
  <si>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</si>
  <si>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</si>
  <si>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</si>
  <si>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</si>
  <si>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</si>
  <si>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</si>
  <si>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</si>
  <si>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</si>
  <si>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</si>
  <si>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</si>
  <si>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</si>
  <si>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</si>
  <si>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</si>
  <si>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</si>
  <si>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</si>
  <si>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</si>
  <si>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</si>
  <si>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</si>
  <si>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</si>
  <si>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</si>
  <si>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</si>
  <si>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</si>
  <si>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</si>
  <si>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</si>
  <si>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</si>
  <si>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</si>
  <si>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</si>
  <si>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</si>
  <si>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</si>
  <si>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</si>
  <si>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</si>
  <si>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</si>
  <si>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</si>
  <si>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</si>
  <si>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</si>
  <si>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</si>
  <si>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</si>
  <si>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</si>
  <si>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</si>
  <si>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</si>
  <si>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</si>
  <si>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</si>
  <si>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</si>
  <si>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</si>
  <si>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</si>
  <si>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</si>
  <si>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</si>
  <si>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</si>
  <si>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</si>
  <si>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</si>
  <si>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</si>
  <si>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</si>
  <si>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</si>
  <si>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</si>
  <si>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</si>
  <si>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</si>
  <si>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</si>
  <si>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</si>
  <si>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</si>
  <si>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</si>
  <si>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</si>
  <si>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</si>
  <si>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</si>
  <si>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</si>
  <si>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</si>
  <si>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</si>
  <si>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</si>
  <si>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</si>
  <si>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</si>
  <si>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</si>
  <si>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</si>
  <si>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</si>
  <si>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</si>
  <si>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</si>
  <si>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</si>
  <si>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</si>
  <si>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</si>
  <si>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</si>
  <si>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</si>
  <si>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</si>
  <si>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</si>
  <si>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</si>
  <si>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</si>
  <si>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</si>
  <si>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</si>
  <si>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</si>
  <si>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</si>
  <si>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</si>
  <si>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</si>
  <si>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</si>
  <si>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</si>
  <si>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</si>
  <si>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</si>
  <si>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</si>
  <si>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</si>
  <si>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</si>
  <si>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</si>
  <si>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</si>
  <si>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</si>
  <si>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</si>
  <si>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</si>
  <si>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</si>
  <si>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</si>
  <si>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</si>
  <si>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</si>
  <si>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</si>
  <si>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</si>
  <si>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</si>
  <si>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</si>
  <si>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</si>
  <si>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</si>
  <si>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</si>
  <si>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</si>
  <si>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</si>
  <si>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</si>
  <si>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</si>
  <si>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</si>
  <si>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</si>
  <si>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</si>
  <si>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</si>
  <si>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</si>
  <si>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</si>
  <si>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</si>
  <si>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</si>
  <si>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</si>
  <si>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</si>
  <si>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</si>
  <si>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</si>
  <si>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</si>
  <si>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</si>
  <si>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</si>
  <si>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</si>
  <si>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</si>
  <si>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</si>
  <si>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</si>
  <si>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</si>
  <si>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</si>
  <si>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</si>
  <si>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</si>
  <si>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</si>
  <si>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</si>
  <si>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</si>
  <si>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</si>
  <si>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</si>
  <si>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</si>
  <si>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</si>
  <si>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</si>
  <si>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</si>
  <si>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</si>
  <si>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</si>
  <si>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</si>
  <si>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</si>
  <si>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</si>
  <si>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</si>
  <si>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</si>
  <si>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</si>
  <si>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</si>
  <si>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</si>
  <si>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</si>
  <si>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</si>
  <si>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</si>
  <si>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</si>
  <si>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</si>
  <si>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</si>
  <si>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</si>
  <si>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</si>
  <si>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</si>
  <si>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</si>
  <si>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</si>
  <si>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</si>
  <si>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</si>
  <si>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</si>
  <si>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</si>
  <si>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</si>
  <si>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</si>
  <si>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</si>
  <si>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</si>
  <si>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</si>
  <si>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</si>
  <si>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</si>
  <si>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</si>
  <si>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</si>
  <si>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</si>
  <si>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</si>
  <si>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</si>
  <si>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</si>
  <si>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</si>
  <si>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</si>
  <si>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</si>
  <si>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</si>
  <si>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</si>
  <si>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</si>
  <si>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</si>
  <si>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</si>
  <si>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</si>
  <si>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</si>
  <si>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</si>
  <si>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</si>
  <si>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</si>
  <si>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</si>
  <si>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</si>
  <si>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</si>
  <si>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</si>
  <si>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</si>
  <si>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</si>
  <si>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</si>
  <si>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</si>
  <si>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</si>
  <si>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</si>
  <si>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</si>
  <si>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</si>
  <si>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</si>
  <si>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</si>
  <si>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</si>
  <si>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</si>
  <si>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</si>
  <si>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</si>
  <si>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</si>
  <si>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</si>
  <si>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</si>
  <si>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</si>
  <si>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</si>
  <si>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</si>
  <si>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</si>
  <si>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</si>
  <si>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</si>
  <si>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</si>
  <si>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</si>
  <si>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</si>
  <si>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</si>
  <si>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</si>
  <si>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</si>
  <si>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</si>
  <si>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</si>
  <si>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</si>
  <si>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</si>
  <si>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</si>
  <si>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</si>
  <si>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</si>
  <si>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</si>
  <si>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</si>
  <si>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</si>
  <si>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</si>
  <si>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</si>
  <si>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</si>
  <si>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</si>
  <si>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</si>
  <si>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</si>
  <si>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</si>
  <si>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</si>
  <si>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</si>
  <si>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</si>
  <si>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</si>
  <si>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</si>
  <si>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</si>
  <si>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</si>
  <si>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</si>
  <si>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</si>
  <si>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</si>
  <si>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</si>
  <si>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</si>
  <si>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</si>
  <si>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</si>
  <si>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</si>
  <si>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</si>
  <si>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</si>
  <si>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</si>
  <si>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</si>
  <si>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</si>
  <si>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</si>
  <si>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</si>
  <si>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</si>
  <si>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</si>
  <si>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</si>
  <si>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</si>
  <si>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</si>
  <si>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</si>
  <si>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</si>
  <si>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</si>
  <si>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</si>
  <si>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</si>
  <si>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</si>
  <si>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</si>
  <si>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</si>
  <si>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</si>
  <si>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</si>
  <si>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</si>
  <si>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</si>
  <si>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</si>
  <si>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</si>
  <si>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</si>
  <si>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</si>
  <si>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</si>
  <si>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</si>
  <si>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</si>
  <si>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</si>
  <si>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</si>
  <si>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</si>
  <si>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</si>
  <si>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</si>
  <si>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</si>
  <si>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</si>
  <si>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</si>
  <si>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</si>
  <si>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</si>
  <si>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</si>
  <si>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</si>
  <si>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</si>
  <si>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</si>
  <si>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</si>
  <si>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</si>
  <si>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</si>
  <si>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</si>
  <si>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</si>
  <si>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</si>
  <si>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</si>
  <si>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</si>
  <si>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</si>
  <si>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</si>
  <si>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</si>
  <si>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</si>
  <si>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</si>
  <si>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</si>
  <si>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</si>
  <si>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</si>
  <si>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</si>
  <si>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</si>
  <si>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</si>
  <si>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</si>
  <si>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</si>
  <si>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</si>
  <si>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</si>
  <si>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</si>
  <si>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</si>
  <si>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</si>
  <si>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</si>
  <si>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</si>
  <si>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</si>
  <si>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</si>
  <si>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</si>
  <si>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</si>
  <si>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</si>
  <si>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</si>
  <si>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</si>
  <si>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</si>
  <si>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</si>
  <si>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</si>
  <si>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</si>
  <si>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</si>
  <si>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</si>
  <si>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</si>
  <si>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</si>
  <si>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</si>
  <si>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</si>
  <si>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</si>
  <si>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</si>
  <si>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</si>
  <si>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</si>
  <si>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</si>
  <si>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</si>
  <si>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</si>
  <si>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</si>
  <si>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</si>
  <si>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</si>
  <si>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</si>
  <si>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</si>
  <si>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</si>
  <si>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</si>
  <si>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</si>
  <si>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</si>
  <si>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</si>
  <si>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</si>
  <si>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</si>
  <si>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</si>
  <si>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</si>
  <si>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</si>
  <si>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</si>
  <si>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</si>
  <si>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</si>
  <si>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</si>
  <si>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</si>
  <si>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</si>
  <si>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</si>
  <si>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</si>
  <si>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</si>
  <si>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</si>
  <si>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</si>
  <si>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</si>
  <si>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</si>
  <si>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</si>
  <si>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</si>
  <si>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</si>
  <si>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</si>
  <si>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</si>
  <si>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</si>
  <si>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</si>
  <si>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</si>
  <si>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</si>
  <si>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</si>
  <si>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</si>
  <si>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QZ/834115/1119/AB</t>
  </si>
  <si>
    <t>QZ/834083/1119/AB</t>
  </si>
  <si>
    <t>G:\EX Area\Manufacturing Archives\Components</t>
  </si>
  <si>
    <t>G:\EX Area\Manufacturing Archives\Products</t>
  </si>
  <si>
    <t>G:\EX Area\Manufacturing Archives</t>
  </si>
  <si>
    <t>QZ/834081/1119/AB</t>
  </si>
  <si>
    <t>QZ/834103/1119/AB</t>
  </si>
  <si>
    <t>107969</t>
  </si>
  <si>
    <t>RN/57191/0814/AB</t>
  </si>
  <si>
    <t>A0919912</t>
  </si>
  <si>
    <t>AP0004</t>
  </si>
  <si>
    <t>VA0003</t>
  </si>
  <si>
    <t>VA0004</t>
  </si>
  <si>
    <t>VA0005</t>
  </si>
  <si>
    <t>QZ/834085/1119/AB</t>
  </si>
  <si>
    <t>2001/SMEC/2020</t>
  </si>
  <si>
    <t>7732-02</t>
  </si>
  <si>
    <t>Drillers Spares</t>
  </si>
  <si>
    <t>SMEC Marine Solutions</t>
  </si>
  <si>
    <t>MTL Barrier
77201100249</t>
  </si>
  <si>
    <t>MTL Barrier
77201100238</t>
  </si>
  <si>
    <t>PL203647</t>
  </si>
  <si>
    <t>RN/520734/0120/AD</t>
  </si>
  <si>
    <t>VA0006</t>
  </si>
  <si>
    <t>VA0007</t>
  </si>
  <si>
    <t>8720-01</t>
  </si>
  <si>
    <t>ESWL-VAP01-11</t>
  </si>
  <si>
    <t>ESWL</t>
  </si>
  <si>
    <t>PL203649</t>
  </si>
  <si>
    <t>MTL Barrier 77200800698</t>
  </si>
  <si>
    <t>Hazardous Area</t>
  </si>
  <si>
    <t>Asgard VAP01-22</t>
  </si>
  <si>
    <t>Bartec US</t>
  </si>
  <si>
    <t>PL203643</t>
  </si>
  <si>
    <t>MTL Barrier</t>
  </si>
  <si>
    <t>8138-31</t>
  </si>
  <si>
    <t>MTLBarrier (77201100245,77201100248,77201100219 ,77201100224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</si>
</sst>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73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9" fillId="17" borderId="0" xfId="0" applyFont="1" applyFill="1" applyAlignment="1" applyProtection="1">
      <alignment horizontal="center" vertical="center"/>
    </xf>
    <xf numFmtId="165" fontId="0" fillId="21" borderId="0" xfId="0" applyNumberFormat="1" applyFill="1"/>
    <xf numFmtId="49" fontId="1" fillId="21" borderId="0" xfId="0" applyNumberFormat="1" applyFont="1" applyFill="1"/>
    <xf numFmtId="0" fontId="1" fillId="21" borderId="0" xfId="0" applyFont="1" applyFill="1"/>
    <xf numFmtId="0" fontId="0" fillId="21" borderId="0" xfId="0" applyFill="1"/>
    <xf numFmtId="165" fontId="0" fillId="21" borderId="0" xfId="0" applyNumberFormat="1" applyFill="1" applyProtection="1"/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2" totalsRowShown="0" headerRowDxfId="213" dataDxfId="212" tableBorderDxfId="211">
  <autoFilter ref="A3:L12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8" totalsRowShown="0" headerRowDxfId="198" dataDxfId="197">
  <autoFilter ref="M3:X8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8" totalsRowShown="0" headerRowDxfId="184" dataDxfId="183">
  <autoFilter ref="Y3:AL8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8" totalsRowShown="0" headerRowDxfId="168" dataDxfId="166" headerRowBorderDxfId="167">
  <autoFilter ref="AM3:AW8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11" totalsRowShown="0" headerRowDxfId="78" dataDxfId="77">
  <autoFilter ref="A3:J11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11" totalsRowShown="0" headerRowDxfId="51" dataDxfId="50">
  <autoFilter ref="Y3:AK11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11" totalsRowShown="0" headerRowDxfId="36" dataDxfId="35">
  <autoFilter ref="AL3:AV11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31" t="s">
        <v>1272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23">
        <v>1303</v>
      </c>
      <c r="B1177" s="325" t="s">
        <v>1507</v>
      </c>
      <c r="C1177" s="45" t="s">
        <v>1581</v>
      </c>
      <c r="D1177" s="327" t="s">
        <v>1580</v>
      </c>
      <c r="E1177" s="10"/>
      <c r="F1177" s="332" t="s">
        <v>1583</v>
      </c>
      <c r="G1177" s="327" t="s">
        <v>1179</v>
      </c>
      <c r="H1177" s="329">
        <v>42318</v>
      </c>
      <c r="I1177" s="327" t="s">
        <v>1181</v>
      </c>
      <c r="J1177" s="329">
        <v>42318</v>
      </c>
      <c r="K1177" s="43" t="s">
        <v>1584</v>
      </c>
    </row>
    <row r="1178" spans="1:11" x14ac:dyDescent="0.2">
      <c r="A1178" s="324"/>
      <c r="B1178" s="326"/>
      <c r="C1178" s="45" t="s">
        <v>1582</v>
      </c>
      <c r="D1178" s="328"/>
      <c r="E1178" s="10"/>
      <c r="F1178" s="333"/>
      <c r="G1178" s="328"/>
      <c r="H1178" s="330"/>
      <c r="I1178" s="328"/>
      <c r="J1178" s="330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23">
        <v>1306</v>
      </c>
      <c r="B1187" s="325" t="s">
        <v>257</v>
      </c>
      <c r="C1187" s="45" t="s">
        <v>1599</v>
      </c>
      <c r="D1187" s="327" t="s">
        <v>1601</v>
      </c>
      <c r="E1187" s="10"/>
      <c r="F1187" s="327" t="s">
        <v>33</v>
      </c>
      <c r="G1187" s="327" t="s">
        <v>1202</v>
      </c>
      <c r="H1187" s="329">
        <v>42388</v>
      </c>
      <c r="I1187" s="327" t="s">
        <v>1368</v>
      </c>
      <c r="J1187" s="327" t="s">
        <v>1602</v>
      </c>
      <c r="K1187" s="325" t="s">
        <v>1603</v>
      </c>
    </row>
    <row r="1188" spans="1:11" x14ac:dyDescent="0.2">
      <c r="A1188" s="324"/>
      <c r="B1188" s="326"/>
      <c r="C1188" s="80" t="s">
        <v>1600</v>
      </c>
      <c r="D1188" s="328"/>
      <c r="E1188" s="10"/>
      <c r="F1188" s="328"/>
      <c r="G1188" s="328"/>
      <c r="H1188" s="330"/>
      <c r="I1188" s="328"/>
      <c r="J1188" s="328"/>
      <c r="K1188" s="326"/>
    </row>
    <row r="1189" spans="1:11" x14ac:dyDescent="0.2">
      <c r="A1189" s="323">
        <v>1307</v>
      </c>
      <c r="B1189" s="325" t="s">
        <v>257</v>
      </c>
      <c r="C1189" s="45" t="s">
        <v>1604</v>
      </c>
      <c r="D1189" s="327" t="s">
        <v>1601</v>
      </c>
      <c r="E1189" s="10"/>
      <c r="F1189" s="327" t="s">
        <v>33</v>
      </c>
      <c r="G1189" s="327" t="s">
        <v>1202</v>
      </c>
      <c r="H1189" s="329">
        <v>42388</v>
      </c>
      <c r="I1189" s="327" t="s">
        <v>1368</v>
      </c>
      <c r="J1189" s="327" t="s">
        <v>1602</v>
      </c>
      <c r="K1189" s="325" t="s">
        <v>1606</v>
      </c>
    </row>
    <row r="1190" spans="1:11" x14ac:dyDescent="0.2">
      <c r="A1190" s="324"/>
      <c r="B1190" s="326"/>
      <c r="C1190" s="80" t="s">
        <v>1605</v>
      </c>
      <c r="D1190" s="328"/>
      <c r="E1190" s="10"/>
      <c r="F1190" s="328"/>
      <c r="G1190" s="328"/>
      <c r="H1190" s="330"/>
      <c r="I1190" s="328"/>
      <c r="J1190" s="328"/>
      <c r="K1190" s="326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2"/>
  <sheetViews>
    <sheetView topLeftCell="J1" zoomScaleNormal="100" workbookViewId="0">
      <pane ySplit="3" topLeftCell="A4" activePane="bottomLeft" state="frozen"/>
      <selection pane="bottomLeft" activeCell="W12" sqref="W12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34" t="s">
        <v>1651</v>
      </c>
      <c r="B1" s="334"/>
      <c r="C1" s="334"/>
      <c r="D1" s="334"/>
      <c r="E1" s="334"/>
      <c r="F1" s="334"/>
      <c r="G1" s="334"/>
      <c r="H1" s="334"/>
      <c r="I1" s="334"/>
      <c r="J1" s="157"/>
      <c r="K1" s="236"/>
      <c r="L1" s="154"/>
      <c r="M1" s="336" t="s">
        <v>1653</v>
      </c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7" t="s">
        <v>1671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8" t="s">
        <v>1665</v>
      </c>
      <c r="AN1" s="338"/>
      <c r="AO1" s="338"/>
      <c r="AP1" s="338"/>
      <c r="AQ1" s="338"/>
      <c r="AR1" s="338"/>
      <c r="AS1" s="338"/>
      <c r="AT1" s="338"/>
      <c r="AU1" s="338"/>
      <c r="AV1" s="338"/>
      <c r="AW1" s="338"/>
    </row>
    <row r="2" spans="1:49" x14ac:dyDescent="0.2">
      <c r="A2" s="335"/>
      <c r="B2" s="335"/>
      <c r="C2" s="335"/>
      <c r="D2" s="335"/>
      <c r="E2" s="335"/>
      <c r="F2" s="335"/>
      <c r="G2" s="335"/>
      <c r="H2" s="335"/>
      <c r="I2" s="335"/>
      <c r="J2" s="155"/>
      <c r="K2" s="155"/>
      <c r="L2" s="155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ht="25.5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 s="294">
        <v>43709</v>
      </c>
      <c r="N8" s="274">
        <v>111111</v>
      </c>
      <c r="O8" s="274" t="s">
        <v>27</v>
      </c>
      <c r="P8" s="274">
        <v>111111</v>
      </c>
      <c r="Q8" s="274"/>
      <c r="R8" s="275" t="s">
        <v>1873</v>
      </c>
      <c r="S8" s="276">
        <f>IF(AND(COUNTIF(Assembly[Membrane SN],Membranes[[#This Row],[Sub-contractor SN]])=1,Membranes[[#This Row],[QAI0006]]="PASS"),1,0)</f>
        <v>1</v>
      </c>
      <c r="T8" s="277">
        <v>44173</v>
      </c>
      <c r="U8" s="274" t="s">
        <v>1641</v>
      </c>
      <c r="V8" s="274" t="s">
        <v>1641</v>
      </c>
      <c r="W8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8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8" s="283" t="s">
        <v>1874</v>
      </c>
      <c r="Z8" s="294">
        <v>44173</v>
      </c>
      <c r="AA8" s="283" t="s">
        <v>27</v>
      </c>
      <c r="AB8" s="284" t="s">
        <v>1873</v>
      </c>
      <c r="AC8" s="286" t="s">
        <v>1872</v>
      </c>
      <c r="AD8" s="274" t="s">
        <v>557</v>
      </c>
      <c r="AE8" s="274" t="s">
        <v>1641</v>
      </c>
      <c r="AF8" s="274" t="s">
        <v>1641</v>
      </c>
      <c r="AG8" s="276">
        <f>IF(AND(COUNTIF(VAP_Destination[ID/SN],Assembly[[#This Row],[ID]])=1,Assembly[[#This Row],[TP0094/96]]="PASS",Assembly[[#This Row],[QAI0008/9]]="PASS"),1,0)</f>
        <v>1</v>
      </c>
      <c r="AH8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8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8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8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8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8" s="232" t="s">
        <v>1879</v>
      </c>
      <c r="AN8" s="229" t="s">
        <v>27</v>
      </c>
      <c r="AO8" s="229" t="s">
        <v>1839</v>
      </c>
      <c r="AP8" s="229" t="s">
        <v>1874</v>
      </c>
      <c r="AQ8" s="230" t="s">
        <v>1880</v>
      </c>
      <c r="AR8" s="230" t="s">
        <v>1881</v>
      </c>
      <c r="AS8" s="230" t="s">
        <v>1882</v>
      </c>
      <c r="AT8" s="310">
        <v>44175</v>
      </c>
      <c r="AU8" s="231" t="s">
        <v>1885</v>
      </c>
      <c r="AV8" s="231"/>
      <c r="AW8" s="233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 s="294">
        <v>41883</v>
      </c>
      <c r="B11" s="281" t="s">
        <v>1871</v>
      </c>
      <c r="C11" s="282" t="s">
        <v>257</v>
      </c>
      <c r="D11" s="282">
        <v>111111</v>
      </c>
      <c r="E11" s="282"/>
      <c r="F11" s="283" t="s">
        <v>1872</v>
      </c>
      <c r="G11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1" s="277">
        <v>44172</v>
      </c>
      <c r="I11" s="274" t="s">
        <v>1641</v>
      </c>
      <c r="J11" s="274" t="s">
        <v>1641</v>
      </c>
      <c r="K11" s="278" t="str">
        <f>IF(VAP100AE[[#This Row],[Type]]="VAP100A",IF(VAP100AE[[#This Row],[TP0054]]="PASS",IF(G11=0,IF(G11="","",F11),""),""),"")</f>
        <v/>
      </c>
      <c r="L11" s="276" t="str">
        <f>IF(VAP100AE[[#This Row],[Type]]="VAP100E",IF(VAP100AE[[#This Row],[TP0054]]="PASS",IF(G11=0,IF(G11="","",F11),""),""),"")</f>
        <v/>
      </c>
      <c r="M11"/>
      <c r="R11"/>
      <c r="T11"/>
      <c r="Z11"/>
      <c r="AB11"/>
      <c r="AT11"/>
    </row>
    <row r="12" spans="1:49" x14ac:dyDescent="0.2">
      <c r="A12" s="318">
        <v>43838</v>
      </c>
      <c r="B12" s="319" t="s">
        <v>1784</v>
      </c>
      <c r="C12" s="320" t="s">
        <v>1507</v>
      </c>
      <c r="D12" s="320">
        <v>30409</v>
      </c>
      <c r="E12" s="320"/>
      <c r="F12" s="321" t="s">
        <v>1886</v>
      </c>
      <c r="G12" s="19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2" s="322">
        <v>44175</v>
      </c>
      <c r="I12" s="198" t="s">
        <v>1641</v>
      </c>
      <c r="J12" s="198" t="s">
        <v>1641</v>
      </c>
      <c r="K12" s="211" t="str">
        <f>IF(VAP100AE[[#This Row],[Type]]="VAP100A",IF(VAP100AE[[#This Row],[TP0054]]="PASS",IF(G12=0,IF(G12="","",F12),""),""),"")</f>
        <v/>
      </c>
      <c r="L12" s="196" t="str">
        <f>IF(VAP100AE[[#This Row],[Type]]="VAP100E",IF(VAP100AE[[#This Row],[TP0054]]="PASS",IF(G12=0,IF(G12="","",F12),""),""),"")</f>
        <v>RN/520734/0120/AD</v>
      </c>
      <c r="M12"/>
      <c r="R12"/>
      <c r="T12"/>
      <c r="Z12"/>
      <c r="AB12"/>
      <c r="AT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M14"/>
      <c r="R14"/>
      <c r="T14"/>
      <c r="Z14"/>
      <c r="AB14"/>
    </row>
    <row r="15" spans="1:49" x14ac:dyDescent="0.2">
      <c r="A15"/>
      <c r="G15"/>
      <c r="H15"/>
      <c r="R15"/>
      <c r="AB15"/>
    </row>
    <row r="16" spans="1:49" x14ac:dyDescent="0.2">
      <c r="A16"/>
      <c r="G16"/>
      <c r="H16"/>
      <c r="R16"/>
    </row>
    <row r="17" spans="1:18" x14ac:dyDescent="0.2">
      <c r="A17"/>
      <c r="G17"/>
      <c r="H17"/>
      <c r="R17"/>
    </row>
    <row r="18" spans="1:18" x14ac:dyDescent="0.2">
      <c r="A18"/>
      <c r="G18"/>
      <c r="H18"/>
      <c r="R18"/>
    </row>
    <row r="19" spans="1:18" x14ac:dyDescent="0.2">
      <c r="A19"/>
      <c r="G19"/>
      <c r="H19"/>
    </row>
    <row r="20" spans="1:18" x14ac:dyDescent="0.2">
      <c r="G20"/>
    </row>
    <row r="21" spans="1:18" x14ac:dyDescent="0.2">
      <c r="G21"/>
    </row>
    <row r="22" spans="1:18" x14ac:dyDescent="0.2">
      <c r="G22"/>
    </row>
    <row r="23" spans="1:18" x14ac:dyDescent="0.2">
      <c r="G23"/>
    </row>
    <row r="24" spans="1:18" x14ac:dyDescent="0.2">
      <c r="G24"/>
    </row>
    <row r="25" spans="1:18" x14ac:dyDescent="0.2">
      <c r="G25"/>
    </row>
    <row r="26" spans="1:18" x14ac:dyDescent="0.2">
      <c r="G26"/>
    </row>
    <row r="27" spans="1:18" x14ac:dyDescent="0.2">
      <c r="G27"/>
    </row>
    <row r="28" spans="1:18" x14ac:dyDescent="0.2">
      <c r="G28"/>
    </row>
    <row r="29" spans="1:18" x14ac:dyDescent="0.2">
      <c r="G29"/>
    </row>
    <row r="30" spans="1:18" x14ac:dyDescent="0.2">
      <c r="G30"/>
    </row>
    <row r="31" spans="1:18" x14ac:dyDescent="0.2">
      <c r="G31"/>
    </row>
    <row r="32" spans="1:18" x14ac:dyDescent="0.2">
      <c r="G32"/>
    </row>
    <row r="33" spans="7:24" x14ac:dyDescent="0.2">
      <c r="G33"/>
    </row>
    <row r="34" spans="7:24" x14ac:dyDescent="0.2">
      <c r="G34"/>
    </row>
    <row r="35" spans="7:24" x14ac:dyDescent="0.2">
      <c r="G35"/>
    </row>
    <row r="36" spans="7:24" x14ac:dyDescent="0.2">
      <c r="G36"/>
    </row>
    <row r="37" spans="7:24" x14ac:dyDescent="0.2">
      <c r="G37"/>
    </row>
    <row r="38" spans="7:24" x14ac:dyDescent="0.2">
      <c r="G38"/>
    </row>
    <row r="39" spans="7:24" x14ac:dyDescent="0.2">
      <c r="G39"/>
      <c r="M39" s="296"/>
      <c r="N39" s="34"/>
      <c r="O39" s="34"/>
      <c r="P39" s="34"/>
      <c r="Q39" s="34"/>
      <c r="R39" s="227"/>
      <c r="S39" s="34"/>
      <c r="T39" s="296"/>
      <c r="U39" s="34"/>
      <c r="V39" s="34"/>
      <c r="W39" s="34"/>
      <c r="X39" s="34"/>
    </row>
    <row r="40" spans="7:24" x14ac:dyDescent="0.2">
      <c r="G40"/>
      <c r="M40" s="296"/>
      <c r="N40" s="34"/>
      <c r="O40" s="34"/>
      <c r="P40" s="34"/>
      <c r="Q40" s="34"/>
      <c r="R40" s="227"/>
      <c r="S40" s="34"/>
      <c r="T40" s="296"/>
      <c r="U40" s="34"/>
      <c r="V40" s="34"/>
      <c r="W40" s="34"/>
      <c r="X40" s="34"/>
    </row>
    <row r="41" spans="7:24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  <c r="AM49" s="34"/>
      <c r="AO49" s="34"/>
      <c r="AP49" s="34"/>
      <c r="AQ49" s="34"/>
      <c r="AR49" s="34"/>
      <c r="AS49" s="34"/>
      <c r="AT49" s="296"/>
      <c r="AU49" s="34"/>
      <c r="AV49" s="34"/>
      <c r="AW49" s="34"/>
    </row>
    <row r="50" spans="13:49" x14ac:dyDescent="0.2">
      <c r="AM50" s="34"/>
      <c r="AN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13:49" x14ac:dyDescent="0.2"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">
      <c r="Y52" s="34"/>
      <c r="Z52" s="296"/>
      <c r="AA52" s="34"/>
      <c r="AB52" s="268"/>
      <c r="AC52" s="166"/>
      <c r="AD52" s="166"/>
      <c r="AE52" s="166"/>
      <c r="AF52" s="166"/>
      <c r="AG52" s="171"/>
      <c r="AH52" s="167"/>
      <c r="AI52" s="167"/>
      <c r="AJ52" s="167"/>
      <c r="AK52" s="171"/>
      <c r="AL52" s="171"/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"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">
      <c r="W58" s="213"/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">
      <c r="W59" s="213"/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">
      <c r="W61" s="213"/>
    </row>
    <row r="62" spans="13:49" x14ac:dyDescent="0.2">
      <c r="W62" s="213"/>
    </row>
    <row r="63" spans="13:49" x14ac:dyDescent="0.2">
      <c r="W63" s="213"/>
    </row>
    <row r="64" spans="1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72" spans="23:23" x14ac:dyDescent="0.2">
      <c r="W72" s="213"/>
    </row>
    <row r="86" spans="18:18" x14ac:dyDescent="0.2">
      <c r="R86" s="265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34"/>
      <c r="E110" s="34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25"/>
      <c r="C111" s="225"/>
      <c r="D111" s="34"/>
      <c r="E111" s="34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25"/>
      <c r="C112" s="225"/>
      <c r="D112" s="226"/>
      <c r="E112" s="226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171"/>
      <c r="E114" s="171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6"/>
      <c r="E115" s="226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05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05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  <row r="121" spans="1:12" x14ac:dyDescent="0.2">
      <c r="A121" s="296"/>
      <c r="B121" s="228"/>
      <c r="C121" s="225"/>
      <c r="D121" s="227"/>
      <c r="E121" s="227"/>
      <c r="F121" s="171"/>
      <c r="G121" s="235"/>
      <c r="H121" s="298"/>
      <c r="I121" s="166"/>
      <c r="J121" s="194"/>
      <c r="K121" s="194"/>
      <c r="L121" s="171"/>
    </row>
    <row r="122" spans="1:12" x14ac:dyDescent="0.2">
      <c r="A122" s="296"/>
      <c r="B122" s="228"/>
      <c r="C122" s="225"/>
      <c r="D122" s="227"/>
      <c r="E122" s="227"/>
      <c r="F122" s="171"/>
      <c r="G122" s="235"/>
      <c r="H122" s="298"/>
      <c r="I122" s="166"/>
      <c r="J122" s="194"/>
      <c r="K122" s="194"/>
      <c r="L122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7">
    <dataValidation type="list" allowBlank="1" showInputMessage="1" showErrorMessage="1" sqref="AD3:AD4 AD8">
      <formula1>"N/A"</formula1>
    </dataValidation>
    <dataValidation type="list" allowBlank="1" showInputMessage="1" showErrorMessage="1" sqref="AE52:AF52 I109:I121 H109:H122 AE3 U3:V3 I3 U5:V8 AE5:AF8 J5:J11 I11 I5:I7 I9:I10 I8 I12 J12">
      <formula1>"UNTESTED,FAIL,PASS"</formula1>
    </dataValidation>
    <dataValidation type="list" allowBlank="1" showInputMessage="1" showErrorMessage="1" sqref="AB52 AB49 AB57">
      <formula1>"PCB-DX3-002"</formula1>
    </dataValidation>
    <dataValidation type="list" operator="equal" allowBlank="1" showInputMessage="1" showErrorMessage="1" sqref="AP64 AF3 AE4:AF4">
      <formula1>"UNTESTED,FAIL"</formula1>
    </dataValidation>
    <dataValidation type="list" allowBlank="1" showInputMessage="1" showErrorMessage="1" sqref="AE49:AE50 K3:K12">
      <formula1>"PCB-A-002,PCB-A-004,PCB-A-006"</formula1>
    </dataValidation>
    <dataValidation type="date" operator="greaterThan" allowBlank="1" showInputMessage="1" showErrorMessage="1" sqref="G142:G153 G109:G122">
      <formula1>36526</formula1>
    </dataValidation>
    <dataValidation type="list" allowBlank="1" showInputMessage="1" showErrorMessage="1" sqref="I122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  <dataValidation type="list" allowBlank="1" showInputMessage="1" showErrorMessage="1" sqref="AP8">
      <formula1>"AP0004"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9" t="s">
        <v>1610</v>
      </c>
      <c r="B1" s="350"/>
      <c r="C1" s="350"/>
      <c r="D1" s="350"/>
      <c r="E1" s="350"/>
      <c r="F1" s="350"/>
      <c r="G1" s="350"/>
      <c r="H1" s="351"/>
      <c r="I1" s="355" t="s">
        <v>1619</v>
      </c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6" t="s">
        <v>1632</v>
      </c>
      <c r="AK1" s="357"/>
      <c r="AL1" s="357"/>
      <c r="AM1" s="358"/>
      <c r="AN1" s="358"/>
      <c r="AO1" s="358"/>
      <c r="AP1" s="358"/>
      <c r="AQ1" s="359"/>
      <c r="AR1" s="363" t="s">
        <v>1634</v>
      </c>
      <c r="AS1" s="364"/>
      <c r="AT1" s="364"/>
      <c r="AU1" s="364"/>
      <c r="AV1" s="364"/>
      <c r="AW1" s="364"/>
      <c r="AX1" s="364"/>
      <c r="AY1" s="364"/>
      <c r="AZ1" s="364"/>
      <c r="BA1" s="364"/>
      <c r="BB1" s="365"/>
      <c r="BC1" s="339" t="s">
        <v>1612</v>
      </c>
      <c r="BD1" s="339"/>
      <c r="BE1" s="339"/>
    </row>
    <row r="2" spans="1:57" ht="25.5" customHeight="1" x14ac:dyDescent="0.2">
      <c r="A2" s="352"/>
      <c r="B2" s="353"/>
      <c r="C2" s="353"/>
      <c r="D2" s="353"/>
      <c r="E2" s="353"/>
      <c r="F2" s="353"/>
      <c r="G2" s="353"/>
      <c r="H2" s="354"/>
      <c r="I2" s="343" t="s">
        <v>1617</v>
      </c>
      <c r="J2" s="344"/>
      <c r="K2" s="344"/>
      <c r="L2" s="344"/>
      <c r="M2" s="344"/>
      <c r="N2" s="344"/>
      <c r="O2" s="345"/>
      <c r="P2" s="346" t="s">
        <v>1616</v>
      </c>
      <c r="Q2" s="347"/>
      <c r="R2" s="347"/>
      <c r="S2" s="347"/>
      <c r="T2" s="347"/>
      <c r="U2" s="347"/>
      <c r="V2" s="348"/>
      <c r="W2" s="340" t="s">
        <v>1635</v>
      </c>
      <c r="X2" s="341"/>
      <c r="Y2" s="341"/>
      <c r="Z2" s="341"/>
      <c r="AA2" s="341"/>
      <c r="AB2" s="341"/>
      <c r="AC2" s="341"/>
      <c r="AD2" s="341"/>
      <c r="AE2" s="341"/>
      <c r="AF2" s="341"/>
      <c r="AG2" s="341"/>
      <c r="AH2" s="341"/>
      <c r="AI2" s="342"/>
      <c r="AJ2" s="360"/>
      <c r="AK2" s="361"/>
      <c r="AL2" s="361"/>
      <c r="AM2" s="361"/>
      <c r="AN2" s="361"/>
      <c r="AO2" s="361"/>
      <c r="AP2" s="361"/>
      <c r="AQ2" s="362"/>
      <c r="AR2" s="366"/>
      <c r="AS2" s="367"/>
      <c r="AT2" s="367"/>
      <c r="AU2" s="367"/>
      <c r="AV2" s="367"/>
      <c r="AW2" s="367"/>
      <c r="AX2" s="367"/>
      <c r="AY2" s="367"/>
      <c r="AZ2" s="367"/>
      <c r="BA2" s="367"/>
      <c r="BB2" s="368"/>
      <c r="BC2" s="339"/>
      <c r="BD2" s="339"/>
      <c r="BE2" s="339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74"/>
  <sheetViews>
    <sheetView zoomScale="90" zoomScaleNormal="90" workbookViewId="0">
      <selection activeCell="AW17" sqref="AW17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8.5703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9" t="s">
        <v>1676</v>
      </c>
      <c r="B1" s="369"/>
      <c r="C1" s="369"/>
      <c r="D1" s="369"/>
      <c r="E1" s="369"/>
      <c r="F1" s="369"/>
      <c r="G1" s="369"/>
      <c r="H1" s="369"/>
      <c r="I1" s="369"/>
      <c r="J1" s="369"/>
      <c r="K1" s="317"/>
      <c r="L1" s="370" t="s">
        <v>1687</v>
      </c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1" t="s">
        <v>1704</v>
      </c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2" t="s">
        <v>1693</v>
      </c>
      <c r="AM1" s="372"/>
      <c r="AN1" s="372"/>
      <c r="AO1" s="372"/>
      <c r="AP1" s="372"/>
      <c r="AQ1" s="372"/>
      <c r="AR1" s="372"/>
      <c r="AS1" s="372"/>
      <c r="AT1" s="372"/>
      <c r="AU1" s="372"/>
      <c r="AV1" s="372"/>
      <c r="AW1" s="372"/>
    </row>
    <row r="2" spans="1:49" x14ac:dyDescent="0.2">
      <c r="A2" s="369"/>
      <c r="B2" s="369"/>
      <c r="C2" s="369"/>
      <c r="D2" s="369"/>
      <c r="E2" s="369"/>
      <c r="F2" s="369"/>
      <c r="G2" s="369"/>
      <c r="H2" s="369"/>
      <c r="I2" s="369"/>
      <c r="J2" s="369"/>
      <c r="K2" s="317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70"/>
      <c r="Y2" s="371"/>
      <c r="Z2" s="371"/>
      <c r="AA2" s="371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ht="25.5" x14ac:dyDescent="0.2">
      <c r="A7" s="277">
        <v>43818</v>
      </c>
      <c r="B7" s="274">
        <v>109281</v>
      </c>
      <c r="C7" s="274">
        <v>111111</v>
      </c>
      <c r="D7" s="290"/>
      <c r="E7" s="274" t="s">
        <v>1864</v>
      </c>
      <c r="F7" s="274">
        <f>IF(COUNTIFS(VAP01_Assembly[VAP100B SN],VAP100B[[#This Row],[Sub-contractor Serial Number]])=1,IF(AND(VAP100B[[#This Row],[QAI0010]]="PASS",VAP100B[[#This Row],[TP0041]]="PASS"),1,0),0)</f>
        <v>1</v>
      </c>
      <c r="G7" s="277">
        <v>44167</v>
      </c>
      <c r="H7" s="274" t="s">
        <v>1641</v>
      </c>
      <c r="I7" s="274" t="s">
        <v>1641</v>
      </c>
      <c r="J7" s="278" t="str">
        <f>IF(AND(VAP100B[[#This Row],[QAI0010]]="PASS",VAP100B[[#This Row],[TP0041]]="PASS",VAP100B[[#This Row],[Assigned]]=0),VAP100B[[#This Row],[Sub-contractor Serial Number]],"")</f>
        <v/>
      </c>
      <c r="Y7" s="274" t="s">
        <v>1875</v>
      </c>
      <c r="Z7" s="277">
        <v>44173</v>
      </c>
      <c r="AA7" s="274" t="s">
        <v>52</v>
      </c>
      <c r="AB7" s="274" t="s">
        <v>1870</v>
      </c>
      <c r="AC7" s="274" t="s">
        <v>1641</v>
      </c>
      <c r="AD7" s="274" t="s">
        <v>1641</v>
      </c>
      <c r="AE7" s="278">
        <f>IF(AND(COUNTIF(VAP01_Destination[VAP01 ID], VAP01_Assembly[[#This Row],[ID]])=1,VAP01_Assembly[[#This Row],[TP0016]]="PASS",VAP01_Assembly[[#This Row],[QAI0011]]="PASS"),1,0)</f>
        <v>1</v>
      </c>
      <c r="AF7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7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7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7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7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7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7" s="218" t="s">
        <v>1879</v>
      </c>
      <c r="AM7" s="218" t="s">
        <v>1875</v>
      </c>
      <c r="AN7" s="219" t="s">
        <v>52</v>
      </c>
      <c r="AO7" s="218" t="s">
        <v>1839</v>
      </c>
      <c r="AP7" s="219" t="s">
        <v>1880</v>
      </c>
      <c r="AQ7" s="219" t="s">
        <v>1881</v>
      </c>
      <c r="AR7" s="219" t="s">
        <v>1882</v>
      </c>
      <c r="AS7" s="308">
        <v>44175</v>
      </c>
      <c r="AT7" s="218" t="s">
        <v>1885</v>
      </c>
      <c r="AU7" s="220"/>
      <c r="AV7" s="218" t="s">
        <v>1883</v>
      </c>
    </row>
    <row r="8" spans="1:49" ht="25.5" x14ac:dyDescent="0.2">
      <c r="A8" s="277">
        <v>43818</v>
      </c>
      <c r="B8" s="274">
        <v>109281</v>
      </c>
      <c r="C8" s="274">
        <v>111111</v>
      </c>
      <c r="D8" s="290"/>
      <c r="E8" s="274" t="s">
        <v>1865</v>
      </c>
      <c r="F8" s="274">
        <f>IF(COUNTIFS(VAP01_Assembly[VAP100B SN],VAP100B[[#This Row],[Sub-contractor Serial Number]])=1,IF(AND(VAP100B[[#This Row],[QAI0010]]="PASS",VAP100B[[#This Row],[TP0041]]="PASS"),1,0),0)</f>
        <v>1</v>
      </c>
      <c r="G8" s="277">
        <v>44167</v>
      </c>
      <c r="H8" s="274" t="s">
        <v>1641</v>
      </c>
      <c r="I8" s="274" t="s">
        <v>1641</v>
      </c>
      <c r="J8" s="278" t="str">
        <f>IF(AND(VAP100B[[#This Row],[QAI0010]]="PASS",VAP100B[[#This Row],[TP0041]]="PASS",VAP100B[[#This Row],[Assigned]]=0),VAP100B[[#This Row],[Sub-contractor Serial Number]],"")</f>
        <v/>
      </c>
      <c r="Y8" s="274" t="s">
        <v>1876</v>
      </c>
      <c r="Z8" s="277">
        <v>44173</v>
      </c>
      <c r="AA8" s="274" t="s">
        <v>52</v>
      </c>
      <c r="AB8" s="274" t="s">
        <v>1869</v>
      </c>
      <c r="AC8" s="274" t="s">
        <v>1641</v>
      </c>
      <c r="AD8" s="274" t="s">
        <v>1641</v>
      </c>
      <c r="AE8" s="278">
        <f>IF(AND(COUNTIF(VAP01_Destination[VAP01 ID], VAP01_Assembly[[#This Row],[ID]])=1,VAP01_Assembly[[#This Row],[TP0016]]="PASS",VAP01_Assembly[[#This Row],[QAI0011]]="PASS"),1,0)</f>
        <v>1</v>
      </c>
      <c r="AF8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8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8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8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8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8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8" s="218" t="s">
        <v>1879</v>
      </c>
      <c r="AM8" s="218" t="s">
        <v>1876</v>
      </c>
      <c r="AN8" s="219" t="s">
        <v>52</v>
      </c>
      <c r="AO8" s="218" t="s">
        <v>1839</v>
      </c>
      <c r="AP8" s="219" t="s">
        <v>1880</v>
      </c>
      <c r="AQ8" s="219" t="s">
        <v>1881</v>
      </c>
      <c r="AR8" s="219" t="s">
        <v>1882</v>
      </c>
      <c r="AS8" s="308">
        <v>44175</v>
      </c>
      <c r="AT8" s="218" t="s">
        <v>1885</v>
      </c>
      <c r="AU8" s="220"/>
      <c r="AV8" s="218" t="s">
        <v>1884</v>
      </c>
    </row>
    <row r="9" spans="1:49" ht="25.5" x14ac:dyDescent="0.2">
      <c r="A9" s="277">
        <v>43818</v>
      </c>
      <c r="B9" s="274">
        <v>109281</v>
      </c>
      <c r="C9" s="274">
        <v>111111</v>
      </c>
      <c r="D9" s="290"/>
      <c r="E9" s="274" t="s">
        <v>1869</v>
      </c>
      <c r="F9" s="274">
        <f>IF(COUNTIFS(VAP01_Assembly[VAP100B SN],VAP100B[[#This Row],[Sub-contractor Serial Number]])=1,IF(AND(VAP100B[[#This Row],[QAI0010]]="PASS",VAP100B[[#This Row],[TP0041]]="PASS"),1,0),0)</f>
        <v>1</v>
      </c>
      <c r="G9" s="277">
        <v>44172</v>
      </c>
      <c r="H9" s="274" t="s">
        <v>1641</v>
      </c>
      <c r="I9" s="274" t="s">
        <v>1641</v>
      </c>
      <c r="J9" s="278" t="str">
        <f>IF(AND(VAP100B[[#This Row],[QAI0010]]="PASS",VAP100B[[#This Row],[TP0041]]="PASS",VAP100B[[#This Row],[Assigned]]=0),VAP100B[[#This Row],[Sub-contractor Serial Number]],"")</f>
        <v/>
      </c>
      <c r="Y9" s="274" t="s">
        <v>1877</v>
      </c>
      <c r="Z9" s="277">
        <v>44174</v>
      </c>
      <c r="AA9" s="274" t="s">
        <v>52</v>
      </c>
      <c r="AB9" s="274" t="s">
        <v>1865</v>
      </c>
      <c r="AC9" s="274" t="s">
        <v>1641</v>
      </c>
      <c r="AD9" s="274" t="s">
        <v>1641</v>
      </c>
      <c r="AE9" s="278">
        <f>IF(AND(COUNTIF(VAP01_Destination[VAP01 ID], VAP01_Assembly[[#This Row],[ID]])=1,VAP01_Assembly[[#This Row],[TP0016]]="PASS",VAP01_Assembly[[#This Row],[QAI0011]]="PASS"),1,0)</f>
        <v>1</v>
      </c>
      <c r="AF9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9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9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9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9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9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9" s="218">
        <v>24367</v>
      </c>
      <c r="AM9" s="218" t="s">
        <v>1877</v>
      </c>
      <c r="AN9" s="219" t="s">
        <v>52</v>
      </c>
      <c r="AO9" s="218" t="s">
        <v>1839</v>
      </c>
      <c r="AP9" s="219" t="s">
        <v>1889</v>
      </c>
      <c r="AQ9" s="219" t="s">
        <v>1890</v>
      </c>
      <c r="AR9" s="219" t="s">
        <v>1891</v>
      </c>
      <c r="AS9" s="308">
        <v>44175</v>
      </c>
      <c r="AT9" s="218" t="s">
        <v>1892</v>
      </c>
      <c r="AU9" s="220"/>
      <c r="AV9" s="218" t="s">
        <v>1893</v>
      </c>
    </row>
    <row r="10" spans="1:49" ht="25.5" x14ac:dyDescent="0.2">
      <c r="A10" s="277">
        <v>43818</v>
      </c>
      <c r="B10" s="274">
        <v>109281</v>
      </c>
      <c r="C10" s="274">
        <v>111111</v>
      </c>
      <c r="D10" s="290"/>
      <c r="E10" s="274" t="s">
        <v>1870</v>
      </c>
      <c r="F10" s="274">
        <f>IF(COUNTIFS(VAP01_Assembly[VAP100B SN],VAP100B[[#This Row],[Sub-contractor Serial Number]])=1,IF(AND(VAP100B[[#This Row],[QAI0010]]="PASS",VAP100B[[#This Row],[TP0041]]="PASS"),1,0),0)</f>
        <v>1</v>
      </c>
      <c r="G10" s="277">
        <v>44172</v>
      </c>
      <c r="H10" s="274" t="s">
        <v>1641</v>
      </c>
      <c r="I10" s="274" t="s">
        <v>1641</v>
      </c>
      <c r="J10" s="278" t="str">
        <f>IF(AND(VAP100B[[#This Row],[QAI0010]]="PASS",VAP100B[[#This Row],[TP0041]]="PASS",VAP100B[[#This Row],[Assigned]]=0),VAP100B[[#This Row],[Sub-contractor Serial Number]],"")</f>
        <v/>
      </c>
      <c r="Y10" s="274" t="s">
        <v>1887</v>
      </c>
      <c r="Z10" s="277">
        <v>44175</v>
      </c>
      <c r="AA10" s="274" t="s">
        <v>623</v>
      </c>
      <c r="AB10" s="274" t="s">
        <v>1864</v>
      </c>
      <c r="AC10" s="274" t="s">
        <v>1641</v>
      </c>
      <c r="AD10" s="274" t="s">
        <v>1641</v>
      </c>
      <c r="AE10" s="278">
        <f>IF(AND(COUNTIF(VAP01_Destination[VAP01 ID], VAP01_Assembly[[#This Row],[ID]])=1,VAP01_Assembly[[#This Row],[TP0016]]="PASS",VAP01_Assembly[[#This Row],[QAI0011]]="PASS"),1,0)</f>
        <v>1</v>
      </c>
      <c r="AF10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10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10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10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10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10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10" s="218">
        <v>104753</v>
      </c>
      <c r="AM10" s="218" t="s">
        <v>1887</v>
      </c>
      <c r="AN10" s="219" t="s">
        <v>623</v>
      </c>
      <c r="AO10" s="218" t="s">
        <v>1894</v>
      </c>
      <c r="AP10" s="218" t="s">
        <v>1899</v>
      </c>
      <c r="AQ10" s="219" t="s">
        <v>1895</v>
      </c>
      <c r="AR10" s="219" t="s">
        <v>1896</v>
      </c>
      <c r="AS10" s="308">
        <v>44176</v>
      </c>
      <c r="AT10" s="218" t="s">
        <v>1897</v>
      </c>
      <c r="AU10" s="220"/>
      <c r="AV10" s="218" t="s">
        <v>1898</v>
      </c>
    </row>
    <row r="11" spans="1:49" ht="63.75" x14ac:dyDescent="0.2">
      <c r="A11" s="277">
        <v>43818</v>
      </c>
      <c r="B11" s="274">
        <v>109281</v>
      </c>
      <c r="C11" s="274">
        <v>111111</v>
      </c>
      <c r="D11" s="290"/>
      <c r="E11" s="274" t="s">
        <v>1878</v>
      </c>
      <c r="F11" s="274">
        <f>IF(COUNTIFS(VAP01_Assembly[VAP100B SN],VAP100B[[#This Row],[Sub-contractor Serial Number]])=1,IF(AND(VAP100B[[#This Row],[QAI0010]]="PASS",VAP100B[[#This Row],[TP0041]]="PASS"),1,0),0)</f>
        <v>1</v>
      </c>
      <c r="G11" s="277">
        <v>44174</v>
      </c>
      <c r="H11" s="274" t="s">
        <v>1641</v>
      </c>
      <c r="I11" s="274" t="s">
        <v>1641</v>
      </c>
      <c r="J11" s="278" t="str">
        <f>IF(AND(VAP100B[[#This Row],[QAI0010]]="PASS",VAP100B[[#This Row],[TP0041]]="PASS",VAP100B[[#This Row],[Assigned]]=0),VAP100B[[#This Row],[Sub-contractor Serial Number]],"")</f>
        <v/>
      </c>
      <c r="Y11" s="274" t="s">
        <v>1888</v>
      </c>
      <c r="Z11" s="277">
        <v>44175</v>
      </c>
      <c r="AA11" s="274" t="s">
        <v>623</v>
      </c>
      <c r="AB11" s="274" t="s">
        <v>1878</v>
      </c>
      <c r="AC11" s="274" t="s">
        <v>1641</v>
      </c>
      <c r="AD11" s="274" t="s">
        <v>1641</v>
      </c>
      <c r="AE11" s="278">
        <f>IF(AND(COUNTIF(VAP01_Destination[VAP01 ID], VAP01_Assembly[[#This Row],[ID]])=1,VAP01_Assembly[[#This Row],[TP0016]]="PASS",VAP01_Assembly[[#This Row],[QAI0011]]="PASS"),1,0)</f>
        <v>1</v>
      </c>
      <c r="AF11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11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11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11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11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11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11" s="218">
        <v>104753</v>
      </c>
      <c r="AM11" s="218" t="s">
        <v>1888</v>
      </c>
      <c r="AN11" s="219" t="s">
        <v>623</v>
      </c>
      <c r="AO11" s="218" t="s">
        <v>1894</v>
      </c>
      <c r="AP11" s="218" t="s">
        <v>1899</v>
      </c>
      <c r="AQ11" s="219" t="s">
        <v>1895</v>
      </c>
      <c r="AR11" s="219" t="s">
        <v>1896</v>
      </c>
      <c r="AS11" s="308">
        <v>44176</v>
      </c>
      <c r="AT11" s="218" t="s">
        <v>1897</v>
      </c>
      <c r="AU11" s="220"/>
      <c r="AV11" s="218" t="s">
        <v>1900</v>
      </c>
    </row>
    <row r="12" spans="1:49" x14ac:dyDescent="0.2">
      <c r="A12" s="213"/>
      <c r="G12" s="213"/>
      <c r="Z12" s="213"/>
      <c r="AS12" s="213"/>
    </row>
    <row r="13" spans="1:49" x14ac:dyDescent="0.2">
      <c r="A13" s="213"/>
      <c r="G13" s="213"/>
      <c r="Z13" s="213"/>
      <c r="AS13" s="213"/>
    </row>
    <row r="14" spans="1:49" x14ac:dyDescent="0.2">
      <c r="A14" s="213"/>
      <c r="G14" s="213"/>
      <c r="Z14" s="213"/>
      <c r="AS14" s="213"/>
    </row>
    <row r="15" spans="1:49" x14ac:dyDescent="0.2">
      <c r="A15" s="213"/>
      <c r="G15" s="213"/>
      <c r="Z15" s="213"/>
      <c r="AS15" s="213"/>
    </row>
    <row r="16" spans="1:49" x14ac:dyDescent="0.2">
      <c r="A16" s="213"/>
      <c r="G16" s="213"/>
      <c r="Z16" s="213"/>
      <c r="AS16" s="213"/>
    </row>
    <row r="17" spans="1:45" x14ac:dyDescent="0.2">
      <c r="A17" s="213"/>
      <c r="G17" s="213"/>
      <c r="Z17" s="213"/>
      <c r="AS17" s="213"/>
    </row>
    <row r="18" spans="1:45" x14ac:dyDescent="0.2">
      <c r="A18" s="213"/>
      <c r="G18" s="213"/>
      <c r="Z18" s="213"/>
      <c r="AS18" s="213"/>
    </row>
    <row r="19" spans="1:45" x14ac:dyDescent="0.2">
      <c r="A19" s="213"/>
      <c r="G19" s="213"/>
      <c r="Z19" s="213"/>
      <c r="AS19" s="213"/>
    </row>
    <row r="20" spans="1:45" x14ac:dyDescent="0.2">
      <c r="A20" s="213"/>
      <c r="G20" s="213"/>
      <c r="Z20" s="213"/>
      <c r="AS20" s="213"/>
    </row>
    <row r="21" spans="1:45" x14ac:dyDescent="0.2">
      <c r="A21" s="213"/>
      <c r="G21" s="213"/>
      <c r="Z21" s="213"/>
      <c r="AS21" s="213"/>
    </row>
    <row r="22" spans="1:45" x14ac:dyDescent="0.2">
      <c r="A22" s="213"/>
      <c r="G22" s="213"/>
      <c r="Z22" s="213"/>
      <c r="AS22" s="213"/>
    </row>
    <row r="23" spans="1:45" x14ac:dyDescent="0.2">
      <c r="A23" s="213"/>
      <c r="G23" s="213"/>
      <c r="Z23" s="213"/>
      <c r="AS23" s="213"/>
    </row>
    <row r="24" spans="1:45" x14ac:dyDescent="0.2">
      <c r="A24" s="213"/>
      <c r="G24" s="213"/>
    </row>
    <row r="25" spans="1:45" x14ac:dyDescent="0.2">
      <c r="A25" s="213"/>
      <c r="G25" s="213"/>
    </row>
    <row r="26" spans="1:45" x14ac:dyDescent="0.2">
      <c r="A26" s="213"/>
      <c r="G26" s="213"/>
    </row>
    <row r="27" spans="1:45" x14ac:dyDescent="0.2">
      <c r="A27" s="213"/>
      <c r="G27" s="213"/>
    </row>
    <row r="28" spans="1:45" x14ac:dyDescent="0.2">
      <c r="A28" s="213"/>
      <c r="G28" s="213"/>
    </row>
    <row r="29" spans="1:45" x14ac:dyDescent="0.2">
      <c r="A29" s="213"/>
      <c r="G29" s="213"/>
    </row>
    <row r="30" spans="1:45" x14ac:dyDescent="0.2">
      <c r="A30" s="213"/>
      <c r="G30" s="213"/>
    </row>
    <row r="31" spans="1:45" x14ac:dyDescent="0.2">
      <c r="A31" s="213"/>
      <c r="G31" s="213"/>
    </row>
    <row r="32" spans="1:45" x14ac:dyDescent="0.2">
      <c r="A32" s="213"/>
      <c r="G32" s="213"/>
    </row>
    <row r="33" spans="1:7" x14ac:dyDescent="0.2">
      <c r="A33" s="213"/>
      <c r="G33" s="213"/>
    </row>
    <row r="34" spans="1:7" x14ac:dyDescent="0.2">
      <c r="A34" s="213"/>
      <c r="G34" s="213"/>
    </row>
    <row r="35" spans="1:7" x14ac:dyDescent="0.2">
      <c r="A35" s="213"/>
      <c r="G35" s="213"/>
    </row>
    <row r="36" spans="1:7" x14ac:dyDescent="0.2">
      <c r="A36" s="213"/>
      <c r="G36" s="213"/>
    </row>
    <row r="37" spans="1:7" x14ac:dyDescent="0.2">
      <c r="A37" s="213"/>
      <c r="G37" s="213"/>
    </row>
    <row r="38" spans="1:7" x14ac:dyDescent="0.2">
      <c r="A38" s="213"/>
      <c r="G38" s="213"/>
    </row>
    <row r="170" spans="1:10" x14ac:dyDescent="0.2">
      <c r="A170" s="304"/>
      <c r="B170" s="243"/>
      <c r="C170" s="243"/>
      <c r="D170" s="243"/>
      <c r="E170" s="170"/>
      <c r="F170" s="170"/>
      <c r="G170" s="304"/>
      <c r="H170" s="170"/>
      <c r="I170" s="170"/>
      <c r="J170" s="194"/>
    </row>
    <row r="171" spans="1:10" x14ac:dyDescent="0.2">
      <c r="A171" s="304"/>
      <c r="B171" s="170"/>
      <c r="C171" s="170"/>
      <c r="D171" s="170"/>
      <c r="E171" s="170"/>
      <c r="F171" s="170"/>
      <c r="G171" s="304"/>
      <c r="H171" s="170"/>
      <c r="I171" s="170"/>
      <c r="J171" s="170"/>
    </row>
    <row r="172" spans="1:10" x14ac:dyDescent="0.2">
      <c r="A172" s="304"/>
      <c r="B172" s="170"/>
      <c r="C172" s="170"/>
      <c r="D172" s="170"/>
      <c r="E172" s="170"/>
      <c r="F172" s="170"/>
      <c r="G172" s="304"/>
      <c r="H172" s="170"/>
      <c r="I172" s="170"/>
      <c r="J172" s="170"/>
    </row>
    <row r="173" spans="1:10" x14ac:dyDescent="0.2">
      <c r="A173" s="304"/>
      <c r="B173" s="170"/>
      <c r="C173" s="170"/>
      <c r="D173" s="170"/>
      <c r="E173" s="170"/>
      <c r="F173" s="170"/>
      <c r="G173" s="304"/>
      <c r="H173" s="170"/>
      <c r="I173" s="170"/>
      <c r="J173" s="170"/>
    </row>
    <row r="174" spans="1:10" x14ac:dyDescent="0.2">
      <c r="A174" s="304"/>
      <c r="B174" s="170"/>
      <c r="C174" s="170"/>
      <c r="D174" s="170"/>
      <c r="E174" s="170"/>
      <c r="F174" s="170"/>
      <c r="G174" s="304"/>
      <c r="H174" s="170"/>
      <c r="I174" s="170"/>
      <c r="J174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6">
    <dataValidation type="list" allowBlank="1" showInputMessage="1" showErrorMessage="1" sqref="H10 H11:I11 Y3:AA11 AB10 AB3:AB8 AD11 AC3:AC10 AE3:AK11 AD3:AD10 AC11">
      <formula1>"UNTESTED,FAIL,PASS"</formula1>
    </dataValidation>
    <dataValidation operator="equal" allowBlank="1" showInputMessage="1" showErrorMessage="1" sqref="A1:G1048576 H1:H9 H12:I1048576 I1:I10 AM1:AM6 AM12:AM1048576 Y12:AK1048576 J1:X1048576 Y1:AK2 AL1:AL1048576 AN1:XFD1048576"/>
    <dataValidation type="list" allowBlank="1" showInputMessage="1" showErrorMessage="1" sqref="AM7">
      <formula1>"VA0003,VA0004"</formula1>
    </dataValidation>
    <dataValidation type="list" allowBlank="1" showInputMessage="1" showErrorMessage="1" sqref="AM8">
      <formula1>"VA0004"</formula1>
    </dataValidation>
    <dataValidation type="list" allowBlank="1" showInputMessage="1" showErrorMessage="1" sqref="AM10">
      <formula1>"VA0006,VA0007"</formula1>
    </dataValidation>
    <dataValidation type="list" allowBlank="1" showInputMessage="1" showErrorMessage="1" sqref="AM11">
      <formula1>"VA0007"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tabSelected="1" zoomScale="98" zoomScaleNormal="98" workbookViewId="0">
      <selection activeCell="E8" sqref="E8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1866</v>
      </c>
    </row>
    <row r="4" spans="1:11" x14ac:dyDescent="0.2">
      <c r="D4" s="144" t="s">
        <v>1674</v>
      </c>
      <c r="E4" s="144" t="s">
        <v>1867</v>
      </c>
    </row>
    <row r="5" spans="1:11" x14ac:dyDescent="0.2">
      <c r="D5" s="144" t="s">
        <v>1675</v>
      </c>
      <c r="E5" s="225" t="s">
        <v>1868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1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1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2">
        <v>52</v>
      </c>
      <c r="B68" s="313">
        <v>44137</v>
      </c>
      <c r="C68" s="315" t="s">
        <v>1792</v>
      </c>
      <c r="D68" s="315" t="s">
        <v>1824</v>
      </c>
      <c r="E68" s="316" t="s">
        <v>1845</v>
      </c>
      <c r="F68" s="315" t="s">
        <v>1812</v>
      </c>
      <c r="G68" s="314" t="s">
        <v>1739</v>
      </c>
      <c r="H68" s="315"/>
      <c r="I68" s="313"/>
      <c r="J68" s="315"/>
      <c r="K68"/>
    </row>
    <row r="69" spans="1:11" ht="14.25" thickTop="1" thickBot="1" x14ac:dyDescent="0.25">
      <c r="A69" s="269">
        <v>53</v>
      </c>
      <c r="B69" s="313"/>
      <c r="C69" s="315"/>
      <c r="D69" s="315"/>
      <c r="E69" s="316"/>
      <c r="F69" s="315"/>
      <c r="G69" s="314"/>
      <c r="H69" s="315"/>
      <c r="I69" s="313"/>
      <c r="J69" s="315"/>
      <c r="K69"/>
    </row>
    <row r="70" spans="1:11" ht="14.25" thickTop="1" thickBot="1" x14ac:dyDescent="0.25">
      <c r="A70" s="269">
        <v>54</v>
      </c>
      <c r="B70" s="313"/>
      <c r="C70" s="315"/>
      <c r="D70" s="315"/>
      <c r="E70" s="316"/>
      <c r="F70" s="315"/>
      <c r="G70" s="314"/>
      <c r="H70" s="315"/>
      <c r="I70" s="313"/>
      <c r="J70" s="315"/>
      <c r="K70"/>
    </row>
    <row r="71" spans="1:11" ht="14.25" thickTop="1" thickBot="1" x14ac:dyDescent="0.25">
      <c r="A71" s="312">
        <v>55</v>
      </c>
      <c r="B71" s="313"/>
      <c r="C71" s="315"/>
      <c r="D71" s="315"/>
      <c r="E71" s="316"/>
      <c r="F71" s="315"/>
      <c r="G71" s="314"/>
      <c r="H71" s="315"/>
      <c r="I71" s="313"/>
      <c r="J71" s="315"/>
      <c r="K71"/>
    </row>
    <row r="72" spans="1:11" ht="14.25" thickTop="1" thickBot="1" x14ac:dyDescent="0.25">
      <c r="A72" s="269">
        <v>56</v>
      </c>
      <c r="B72" s="313"/>
      <c r="C72" s="315"/>
      <c r="D72" s="315"/>
      <c r="E72" s="316"/>
      <c r="F72" s="315"/>
      <c r="G72" s="314"/>
      <c r="H72" s="315"/>
      <c r="I72" s="313"/>
      <c r="J72" s="315"/>
      <c r="K72"/>
    </row>
    <row r="73" spans="1:11" ht="14.25" thickTop="1" thickBot="1" x14ac:dyDescent="0.25">
      <c r="A73" s="269">
        <v>57</v>
      </c>
      <c r="B73" s="313"/>
      <c r="C73" s="315"/>
      <c r="D73" s="315"/>
      <c r="E73" s="316"/>
      <c r="F73" s="315"/>
      <c r="G73" s="314"/>
      <c r="H73" s="315"/>
      <c r="I73" s="313"/>
      <c r="J73" s="315"/>
      <c r="K73"/>
    </row>
    <row r="74" spans="1:11" ht="14.25" thickTop="1" thickBot="1" x14ac:dyDescent="0.25">
      <c r="A74" s="312">
        <v>58</v>
      </c>
      <c r="B74" s="313"/>
      <c r="C74" s="315"/>
      <c r="D74" s="315"/>
      <c r="E74" s="316"/>
      <c r="F74" s="315"/>
      <c r="G74" s="314"/>
      <c r="H74" s="315"/>
      <c r="I74" s="313"/>
      <c r="J74" s="315"/>
      <c r="K74"/>
    </row>
    <row r="75" spans="1:11" ht="14.25" thickTop="1" thickBot="1" x14ac:dyDescent="0.25">
      <c r="A75" s="269">
        <v>59</v>
      </c>
      <c r="B75" s="313"/>
      <c r="C75" s="314"/>
      <c r="D75" s="315"/>
      <c r="E75" s="316"/>
      <c r="F75" s="315"/>
      <c r="G75" s="314"/>
      <c r="H75" s="315"/>
      <c r="I75" s="313"/>
      <c r="J75" s="315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7">
      <formula>$G17=$A$10</formula>
    </cfRule>
    <cfRule type="expression" dxfId="22" priority="8">
      <formula>$G17=$A$12</formula>
    </cfRule>
    <cfRule type="expression" dxfId="21" priority="9">
      <formula>$G17=$A$11</formula>
    </cfRule>
  </conditionalFormatting>
  <conditionalFormatting sqref="A64:J65 A66:D66 F66:J66 A69 A72 A75">
    <cfRule type="expression" dxfId="20" priority="4">
      <formula>$G64=$A$10</formula>
    </cfRule>
    <cfRule type="expression" dxfId="19" priority="5">
      <formula>$G64=$A$12</formula>
    </cfRule>
    <cfRule type="expression" dxfId="18" priority="6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2020-12-11T10:07:35Z</dcterms:modified>
</cp:coreProperties>
</file>