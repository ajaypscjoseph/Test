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1560" yWindow="1560" windowWidth="28800" windowHeight="15470" firstSheet="1" activeTab="3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0" l="1"/>
  <c r="I11" i="10"/>
  <c r="J11" i="10"/>
  <c r="E10" i="10"/>
  <c r="I10" i="10"/>
  <c r="J10" i="10"/>
  <c r="E9" i="10"/>
  <c r="I9" i="10"/>
  <c r="J9" i="10"/>
  <c r="E8" i="10"/>
  <c r="I8" i="10"/>
  <c r="J8" i="10"/>
  <c r="E7" i="10"/>
  <c r="I7" i="10"/>
  <c r="J7" i="10"/>
  <c r="E6" i="10"/>
  <c r="I6" i="10"/>
  <c r="J6" i="10"/>
  <c r="E5" i="10"/>
  <c r="I5" i="10"/>
  <c r="J5" i="10"/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<sst xmlns="http://schemas.openxmlformats.org/spreadsheetml/2006/main" count="4950" uniqueCount="1830">
  <si>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</si>
  <si>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</si>
  <si>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</si>
  <si>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</si>
  <si>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</si>
  <si>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</si>
  <si>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</si>
  <si>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</si>
  <si>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</si>
  <si>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</si>
  <si>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</si>
  <si>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</si>
  <si>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</si>
  <si>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</si>
  <si>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</si>
  <si>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</si>
  <si>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</si>
  <si>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</si>
  <si>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</si>
  <si>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</si>
  <si>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</si>
  <si>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</si>
  <si>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</si>
  <si>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</si>
  <si>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</si>
  <si>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</si>
  <si>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</si>
  <si>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</si>
  <si>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</si>
  <si>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</si>
  <si>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</si>
  <si>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</si>
  <si>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</si>
  <si>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</si>
  <si>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</si>
  <si>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</si>
  <si>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</si>
  <si>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</si>
  <si>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</si>
  <si>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</si>
  <si>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</si>
  <si>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</si>
  <si>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</si>
  <si>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</si>
  <si>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</si>
  <si>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</si>
  <si>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</si>
  <si>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</si>
  <si>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</si>
  <si>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</si>
  <si>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</si>
  <si>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</si>
  <si>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</si>
  <si>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</si>
  <si>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</si>
  <si>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</si>
  <si>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</si>
  <si>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</si>
  <si>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</si>
  <si>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</si>
  <si>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</si>
  <si>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</si>
  <si>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</si>
  <si>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</si>
  <si>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</si>
  <si>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</si>
  <si>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</si>
  <si>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</si>
  <si>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</si>
  <si>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</si>
  <si>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</si>
  <si>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</si>
  <si>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</si>
  <si>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</si>
  <si>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</si>
  <si>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</si>
  <si>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</si>
  <si>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</si>
  <si>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</si>
  <si>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</si>
  <si>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</si>
  <si>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</si>
  <si>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</si>
  <si>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</si>
  <si>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</si>
  <si>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</si>
  <si>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</si>
  <si>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</si>
  <si>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</si>
  <si>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</si>
  <si>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</si>
  <si>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</si>
  <si>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</si>
  <si>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</si>
  <si>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</si>
  <si>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</si>
  <si>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</si>
  <si>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</si>
  <si>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</si>
  <si>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</si>
  <si>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</si>
  <si>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</si>
  <si>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</si>
  <si>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</si>
  <si>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</si>
  <si>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</si>
  <si>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</si>
  <si>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</si>
  <si>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</si>
  <si>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</si>
  <si>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</si>
  <si>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</si>
  <si>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</si>
  <si>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</si>
  <si>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</si>
  <si>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</si>
  <si>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</si>
  <si>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</si>
  <si>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</si>
  <si>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</si>
  <si>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</si>
  <si>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</si>
  <si>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</si>
  <si>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</si>
  <si>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</si>
  <si>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</si>
  <si>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</si>
  <si>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</si>
  <si>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</si>
  <si>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</si>
  <si>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</si>
  <si>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</si>
  <si>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</si>
  <si>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</si>
  <si>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</si>
  <si>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</si>
  <si>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</si>
  <si>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</si>
  <si>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</si>
  <si>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</si>
  <si>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</si>
  <si>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</si>
  <si>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</si>
  <si>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</si>
  <si>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</si>
  <si>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</si>
  <si>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</si>
  <si>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</si>
  <si>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</si>
  <si>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</si>
  <si>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</si>
  <si>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</si>
  <si>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</si>
  <si>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</si>
  <si>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</si>
  <si>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</si>
  <si>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</si>
  <si>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</si>
  <si>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</si>
  <si>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</si>
  <si>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</si>
  <si>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</si>
  <si>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</si>
  <si>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</si>
  <si>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</si>
  <si>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</si>
  <si>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</si>
  <si>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</si>
  <si>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</si>
  <si>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</si>
  <si>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</si>
  <si>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</si>
  <si>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</si>
  <si>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</si>
  <si>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</si>
  <si>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</si>
  <si>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</si>
  <si>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</si>
  <si>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</si>
  <si>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</si>
  <si>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</si>
  <si>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</si>
  <si>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</si>
  <si>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</si>
  <si>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</si>
  <si>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</si>
  <si>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</si>
  <si>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</si>
  <si>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</si>
  <si>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</si>
  <si>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</si>
  <si>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</si>
  <si>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</si>
  <si>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</si>
  <si>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</si>
  <si>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</si>
  <si>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</si>
  <si>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</si>
  <si>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</si>
  <si>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</si>
  <si>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</si>
  <si>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</si>
  <si>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</si>
  <si>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</si>
  <si>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</si>
  <si>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</si>
  <si>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</si>
  <si>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</si>
  <si>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</si>
  <si>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</si>
  <si>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</si>
  <si>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</si>
  <si>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</si>
  <si>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</si>
  <si>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</si>
  <si>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</si>
  <si>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</si>
  <si>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</si>
  <si>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</si>
  <si>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</si>
  <si>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</si>
  <si>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</si>
  <si>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</si>
  <si>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</si>
  <si>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</si>
  <si>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</si>
  <si>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</si>
  <si>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</si>
  <si>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</si>
  <si>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</si>
  <si>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</si>
  <si>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</si>
  <si>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</si>
  <si>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</si>
  <si>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</si>
  <si>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</si>
  <si>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</si>
  <si>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</si>
  <si>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</si>
  <si>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</si>
  <si>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</si>
  <si>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</si>
  <si>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</si>
  <si>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</si>
  <si>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</si>
  <si>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</si>
  <si>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</si>
  <si>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</si>
  <si>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</si>
  <si>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</si>
  <si>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</si>
  <si>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</si>
  <si>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</si>
  <si>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</si>
  <si>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</si>
  <si>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</si>
  <si>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</si>
  <si>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</si>
  <si>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</si>
  <si>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</si>
  <si>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</si>
  <si>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</si>
  <si>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</si>
  <si>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</si>
  <si>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</si>
  <si>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</si>
  <si>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</si>
  <si>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</si>
  <si>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</si>
  <si>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</si>
  <si>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</si>
  <si>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</si>
  <si>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</si>
  <si>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</si>
  <si>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</si>
  <si>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</si>
  <si>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</si>
  <si>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</si>
  <si>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</si>
  <si>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</si>
  <si>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</si>
  <si>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</si>
  <si>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</si>
  <si>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</si>
  <si>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</si>
  <si>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</si>
  <si>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</si>
  <si>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</si>
  <si>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</si>
  <si>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</si>
  <si>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</si>
  <si>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</si>
  <si>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</si>
  <si>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</si>
  <si>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</si>
  <si>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</si>
  <si>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</si>
  <si>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</si>
  <si>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</si>
  <si>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</si>
  <si>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</si>
  <si>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</si>
  <si>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</si>
  <si>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</si>
  <si>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</si>
  <si>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</si>
  <si>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</si>
  <si>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</si>
  <si>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</si>
  <si>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</si>
  <si>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</si>
  <si>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</si>
  <si>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</si>
  <si>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</si>
  <si>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</si>
  <si>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</si>
  <si>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</si>
  <si>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</si>
  <si>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</si>
  <si>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</si>
  <si>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</si>
  <si>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</si>
  <si>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</si>
  <si>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</si>
  <si>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</si>
  <si>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</si>
  <si>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</si>
  <si>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</si>
  <si>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</si>
  <si>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</si>
  <si>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</si>
  <si>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</si>
  <si>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</si>
  <si>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</si>
  <si>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</si>
  <si>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</si>
  <si>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</si>
  <si>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</si>
  <si>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</si>
  <si>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</si>
  <si>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</si>
  <si>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</si>
  <si>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</si>
  <si>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</si>
  <si>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</si>
  <si>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</si>
  <si>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</si>
  <si>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</si>
  <si>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</si>
  <si>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</si>
  <si>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</si>
  <si>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</si>
  <si>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</si>
  <si>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</si>
  <si>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</si>
  <si>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</si>
  <si>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</si>
  <si>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</si>
  <si>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</si>
  <si>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</si>
  <si>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</si>
  <si>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</si>
  <si>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</si>
  <si>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</si>
  <si>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</si>
  <si>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</si>
  <si>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</si>
  <si>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</si>
  <si>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</si>
  <si>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</si>
  <si>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</si>
  <si>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</si>
  <si>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</si>
  <si>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</si>
  <si>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</si>
  <si>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</si>
  <si>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</si>
  <si>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</si>
  <si>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</si>
  <si>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</si>
  <si>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</si>
  <si>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</si>
  <si>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</si>
  <si>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</si>
  <si>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</si>
  <si>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</si>
  <si>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</si>
  <si>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</si>
  <si>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</si>
  <si>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</si>
  <si>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</si>
  <si>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</si>
  <si>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</si>
  <si>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</si>
  <si>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</si>
  <si>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</si>
  <si>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</si>
  <si>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</si>
  <si>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</si>
  <si>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</si>
  <si>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</si>
  <si>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</si>
  <si>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</si>
  <si>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</si>
  <si>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</si>
  <si>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</si>
  <si>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</si>
  <si>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</si>
  <si>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</si>
  <si>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</si>
  <si>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</si>
  <si>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</si>
  <si>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</si>
  <si>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</si>
  <si>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</si>
  <si>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</si>
  <si>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</si>
  <si>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</si>
  <si>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</si>
  <si>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</si>
  <si>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</si>
  <si>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</si>
  <si>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</si>
  <si>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</si>
  <si>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</si>
  <si>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</si>
  <si>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</si>
  <si>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</si>
  <si>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</si>
  <si>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</si>
  <si>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</si>
  <si>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</si>
  <si>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</si>
  <si>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</si>
  <si>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</si>
  <si>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</si>
  <si>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</si>
  <si>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</si>
  <si>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</si>
  <si>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</si>
  <si>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</si>
  <si>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</si>
  <si>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</si>
  <si>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</si>
  <si>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</si>
  <si>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</si>
  <si>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</si>
  <si>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</si>
  <si>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</si>
  <si>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</si>
  <si>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</si>
  <si>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</si>
  <si>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</si>
  <si>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</si>
  <si>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</si>
  <si>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</si>
  <si>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</si>
  <si>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</si>
  <si>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</si>
  <si>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</si>
  <si>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</si>
  <si>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</si>
  <si>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</si>
  <si>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</si>
  <si>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</si>
  <si>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</si>
  <si>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</si>
  <si>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</si>
  <si>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</si>
  <si>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</si>
  <si>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</si>
  <si>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</si>
  <si>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</si>
  <si>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</si>
  <si>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</si>
  <si>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</si>
  <si>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</si>
  <si>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</si>
  <si>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</si>
  <si>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</si>
  <si>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</si>
  <si>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</si>
  <si>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</si>
  <si>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</si>
  <si>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</si>
  <si>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</si>
  <si>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</si>
  <si>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</si>
  <si>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</si>
  <si>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</si>
  <si>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</si>
  <si>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</si>
  <si>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</si>
  <si>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</si>
  <si>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</si>
  <si>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</si>
  <si>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</si>
  <si>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</si>
  <si>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</si>
  <si>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</si>
  <si>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</si>
  <si>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</si>
  <si>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</si>
  <si>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</si>
  <si>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</si>
  <si>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</si>
  <si>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</si>
  <si>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</si>
  <si>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</si>
  <si>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</si>
  <si>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</si>
  <si>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</si>
  <si>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</si>
  <si>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</si>
  <si>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</si>
  <si>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</si>
  <si>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</si>
  <si>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</si>
  <si>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</si>
  <si>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</si>
  <si>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</si>
  <si>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</si>
  <si>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</si>
  <si>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</si>
  <si>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</si>
  <si>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</si>
  <si>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</si>
  <si>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</si>
  <si>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</si>
  <si>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</si>
  <si>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</si>
  <si>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</si>
  <si>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</si>
  <si>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</si>
  <si>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</si>
  <si>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</si>
  <si>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</si>
  <si>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</si>
  <si>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</si>
  <si>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</si>
  <si>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</si>
  <si>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</si>
  <si>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</si>
  <si>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</si>
  <si>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</si>
  <si>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</si>
  <si>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</si>
  <si>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</si>
  <si>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</si>
  <si>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</si>
  <si>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</si>
  <si>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</si>
  <si>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</si>
  <si>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</si>
  <si>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</si>
  <si>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</si>
  <si>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</si>
  <si>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</si>
  <si>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</si>
  <si>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</si>
  <si>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</si>
  <si>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</si>
  <si>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</si>
  <si>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</si>
  <si>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</si>
  <si>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</si>
  <si>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</si>
  <si>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</si>
  <si>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</si>
  <si>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</si>
  <si>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</si>
  <si>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</si>
  <si>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</si>
  <si>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</si>
  <si>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</si>
  <si>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</si>
  <si>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</si>
  <si>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</si>
  <si>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</si>
  <si>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</si>
  <si>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</si>
  <si>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</si>
  <si>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</si>
  <si>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</si>
  <si>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</si>
  <si>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</si>
  <si>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</si>
  <si>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</si>
  <si>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</si>
  <si>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</si>
  <si>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</si>
  <si>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</si>
  <si>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</si>
  <si>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</si>
  <si>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</si>
  <si>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</si>
  <si>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</si>
  <si>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</si>
  <si>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</si>
  <si>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</si>
  <si>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</si>
  <si>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</si>
  <si>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</si>
  <si>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</si>
  <si>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</si>
  <si>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</si>
  <si>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</si>
  <si>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</si>
  <si>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</si>
  <si>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</si>
  <si>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</si>
  <si>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</si>
  <si>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</si>
  <si>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</si>
  <si>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</si>
  <si>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</si>
  <si>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</si>
  <si>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</si>
  <si>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</si>
  <si>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</si>
  <si>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</si>
  <si>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</si>
  <si>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</si>
  <si>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</si>
  <si>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</si>
  <si>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</si>
  <si>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</si>
  <si>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</si>
  <si>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</si>
  <si>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</si>
  <si>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</si>
  <si>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</si>
  <si>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</si>
  <si>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</si>
  <si>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</si>
  <si>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</si>
  <si>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</si>
  <si>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</si>
  <si>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</si>
  <si>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</si>
  <si>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</si>
  <si>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</si>
  <si>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</si>
  <si>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</si>
  <si>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</si>
  <si>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</si>
  <si>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</si>
  <si>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</si>
  <si>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</si>
  <si>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</si>
  <si>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</si>
  <si>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</si>
  <si>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</si>
  <si>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</si>
  <si>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</si>
  <si>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</si>
  <si>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</si>
  <si>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</si>
  <si>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</si>
  <si>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</si>
  <si>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</si>
  <si>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</si>
  <si>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</si>
  <si>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</si>
  <si>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</si>
  <si>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</si>
  <si>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</si>
  <si>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</si>
  <si>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</si>
  <si>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</si>
  <si>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</si>
  <si>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</si>
  <si>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</si>
  <si>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</si>
  <si>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</si>
  <si>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</si>
  <si>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</si>
  <si>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</si>
  <si>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</si>
  <si>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</si>
  <si>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</si>
  <si>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</si>
  <si>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</si>
  <si>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</si>
  <si>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</si>
  <si>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</si>
  <si>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</si>
  <si>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</si>
  <si>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</si>
  <si>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</si>
  <si>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</si>
  <si>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</si>
  <si>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</si>
  <si>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</si>
  <si>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</si>
  <si>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</si>
  <si>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</si>
  <si>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</si>
  <si>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</si>
  <si>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</si>
  <si>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</si>
  <si>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</si>
  <si>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</si>
  <si>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</si>
  <si>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</si>
  <si>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</si>
  <si>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</si>
  <si>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</si>
  <si>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</si>
  <si>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</si>
  <si>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</si>
  <si>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</si>
  <si>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</si>
  <si>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</si>
  <si>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</si>
  <si>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</si>
  <si>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</si>
  <si>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</si>
  <si>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</si>
  <si>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</si>
  <si>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</si>
  <si>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</si>
  <si>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</si>
  <si>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</si>
  <si>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</si>
  <si>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</si>
  <si>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</si>
  <si>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</si>
  <si>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</si>
  <si>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</si>
  <si>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</si>
  <si>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</si>
  <si>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</si>
  <si>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</si>
  <si>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</si>
  <si>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</si>
  <si>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</si>
  <si>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</si>
  <si>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</si>
  <si>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</si>
  <si>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</si>
  <si>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</si>
  <si>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</si>
  <si>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</si>
  <si>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</si>
  <si>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</si>
  <si>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</si>
  <si>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</si>
  <si>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</si>
  <si>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</si>
  <si>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</si>
  <si>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</si>
  <si>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</si>
  <si>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</si>
  <si>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</si>
  <si>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</si>
  <si>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</si>
  <si>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</si>
  <si>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</si>
  <si>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</si>
  <si>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</si>
  <si>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</si>
  <si>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</si>
  <si>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</si>
  <si>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</si>
  <si>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</si>
  <si>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</si>
  <si>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</si>
  <si>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</si>
  <si>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</si>
  <si>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</si>
  <si>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</si>
  <si>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</si>
  <si>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</si>
  <si>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</si>
  <si>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</si>
  <si>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</si>
  <si>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</si>
  <si>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</si>
  <si>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</si>
  <si>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</si>
  <si>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</si>
  <si>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</si>
  <si>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</si>
  <si>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</si>
  <si>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</si>
  <si>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</si>
  <si>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</si>
  <si>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</si>
  <si>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</si>
  <si>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</si>
  <si>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</si>
  <si>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</si>
  <si>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</si>
  <si>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</si>
  <si>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</si>
  <si>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</si>
  <si>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</si>
  <si>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</si>
  <si>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</si>
  <si>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</si>
  <si>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</si>
  <si>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</si>
  <si>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</si>
  <si>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</si>
  <si>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</si>
  <si>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</si>
  <si>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</si>
  <si>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</si>
  <si>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</si>
  <si>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</si>
  <si>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</si>
  <si>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</si>
  <si>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</si>
  <si>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</si>
  <si>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</si>
  <si>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</si>
  <si>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</si>
  <si>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</si>
  <si>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</si>
  <si>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</si>
  <si>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</si>
  <si>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</si>
  <si>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</si>
  <si>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</si>
  <si>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</si>
  <si>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</si>
  <si>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</si>
  <si>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</si>
  <si>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</si>
  <si>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</si>
  <si>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</si>
  <si>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</si>
  <si>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</si>
  <si>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</si>
  <si>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</si>
  <si>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</si>
  <si>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</si>
  <si>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</si>
  <si>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</si>
  <si>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</si>
  <si>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</si>
  <si>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</si>
  <si>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</si>
  <si>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</si>
  <si>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</si>
  <si>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</si>
  <si>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</si>
  <si>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</si>
  <si>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</si>
  <si>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</si>
  <si>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</si>
  <si>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</si>
  <si>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</si>
  <si>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</si>
  <si>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</si>
  <si>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</si>
  <si>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</si>
  <si>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</si>
  <si>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</si>
  <si>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</si>
  <si>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</si>
  <si>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</si>
  <si>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</si>
  <si>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</si>
  <si>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</si>
  <si>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</si>
  <si>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</si>
  <si>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</si>
  <si>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</si>
  <si>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</si>
  <si>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</si>
  <si>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</si>
  <si>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</si>
  <si>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</si>
  <si>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</si>
  <si>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</si>
  <si>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</si>
  <si>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</si>
  <si>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</si>
  <si>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</si>
  <si>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</si>
  <si>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</si>
  <si>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</si>
  <si>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</si>
  <si>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</si>
  <si>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</si>
  <si>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</si>
  <si>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</si>
  <si>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</si>
  <si>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</si>
  <si>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</si>
  <si>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</si>
  <si>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</si>
  <si>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</si>
  <si>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</si>
  <si>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</si>
  <si>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</si>
  <si>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</si>
  <si>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</si>
  <si>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</si>
  <si>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</si>
  <si>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</si>
  <si>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</si>
  <si>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</si>
  <si>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</si>
  <si>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</si>
  <si>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</si>
  <si>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</si>
  <si>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</si>
  <si>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</si>
  <si>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</si>
  <si>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</si>
  <si>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</si>
  <si>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</si>
  <si>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</si>
  <si>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</si>
  <si>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</si>
  <si>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</si>
  <si>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</si>
  <si>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</si>
  <si>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</si>
  <si>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</si>
  <si>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</si>
  <si>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</si>
  <si>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</si>
  <si>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</si>
  <si>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</si>
  <si>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</si>
  <si>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</si>
  <si>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</si>
  <si>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</si>
  <si>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</si>
  <si>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</si>
  <si>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</si>
  <si>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</si>
  <si>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</si>
  <si>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</si>
  <si>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</si>
  <si>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</si>
  <si>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</si>
  <si>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</si>
  <si>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</si>
  <si>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</si>
  <si>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</si>
  <si>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</si>
  <si>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</si>
  <si>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</si>
  <si>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</si>
  <si>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</si>
  <si>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</si>
  <si>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</si>
  <si>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</si>
  <si>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</si>
  <si>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</si>
  <si>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</si>
  <si>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</si>
  <si>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</si>
  <si>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</si>
  <si>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</si>
  <si>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</si>
  <si>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</si>
  <si>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</si>
  <si>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</si>
  <si>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</si>
  <si>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</si>
  <si>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</si>
  <si>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</si>
  <si>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</si>
  <si>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</si>
  <si>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</si>
  <si>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</si>
  <si>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</si>
  <si>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</si>
  <si>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</si>
  <si>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</si>
  <si>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</si>
  <si>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</si>
  <si>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</si>
  <si>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</si>
  <si>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</si>
  <si>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</si>
  <si>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</si>
  <si>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</si>
  <si>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</si>
  <si>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</si>
  <si>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</si>
  <si>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</si>
  <si>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</si>
  <si>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</si>
  <si>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</si>
  <si>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</si>
  <si>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</si>
  <si>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</si>
  <si>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</si>
  <si>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</si>
  <si>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</si>
  <si>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</si>
  <si>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</si>
  <si>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</si>
  <si>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</si>
  <si>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</si>
  <si>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</si>
  <si>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</si>
  <si>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</si>
  <si>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</si>
  <si>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</si>
  <si>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</si>
  <si>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</si>
  <si>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</si>
  <si>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</si>
  <si>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</si>
  <si>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</si>
  <si>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</si>
  <si>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</si>
  <si>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</si>
  <si>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</si>
  <si>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</si>
  <si>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</si>
  <si>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</si>
  <si>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</si>
  <si>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</si>
  <si>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</si>
  <si>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</si>
  <si>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</si>
  <si>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</si>
  <si>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</si>
  <si>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</si>
  <si>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</si>
  <si>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</si>
  <si>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</si>
  <si>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</si>
  <si>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</si>
  <si>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</si>
  <si>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</si>
  <si>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</si>
  <si>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</si>
  <si>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</si>
  <si>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</si>
  <si>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</si>
  <si>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</si>
  <si>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</si>
  <si>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</si>
  <si>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</si>
  <si>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</si>
  <si>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</si>
  <si>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</si>
  <si>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</si>
  <si>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</si>
  <si>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</si>
  <si>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</si>
  <si>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</si>
  <si>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</si>
  <si>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</si>
  <si>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</si>
  <si>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</si>
  <si>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</si>
  <si>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</si>
  <si>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</si>
  <si>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</si>
  <si>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</si>
  <si>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</si>
  <si>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</si>
  <si>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</si>
  <si>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</si>
  <si>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</si>
  <si>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</si>
  <si>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</si>
  <si>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</si>
  <si>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</si>
  <si>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</si>
  <si>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</si>
  <si>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</si>
  <si>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</si>
  <si>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</si>
  <si>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</si>
  <si>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</si>
  <si>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</si>
  <si>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</si>
  <si>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</si>
  <si>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</si>
  <si>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</si>
  <si>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</si>
  <si>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</si>
  <si>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</si>
  <si>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</si>
  <si>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</si>
  <si>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</si>
  <si>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</si>
  <si>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</si>
  <si>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</si>
  <si>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</si>
  <si>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</si>
  <si>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</si>
  <si>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</si>
  <si>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</si>
  <si>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</si>
  <si>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</si>
  <si>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</si>
  <si>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</si>
  <si>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</si>
  <si>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</si>
  <si>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</si>
  <si>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</si>
  <si>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</si>
  <si>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</si>
  <si>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</si>
  <si>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</si>
  <si>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</si>
  <si>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</si>
  <si>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</si>
  <si>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</si>
  <si>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</si>
  <si>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</si>
  <si>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</si>
  <si>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</si>
  <si>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</si>
  <si>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</si>
  <si>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</si>
  <si>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</si>
  <si>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</si>
  <si>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</si>
  <si>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</si>
  <si>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</si>
  <si>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</si>
  <si>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</si>
  <si>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</si>
  <si>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</si>
  <si>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</si>
  <si>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</si>
  <si>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</si>
  <si>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</si>
  <si>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</si>
  <si>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</si>
  <si>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</si>
  <si>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</si>
  <si>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</si>
  <si>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</si>
  <si>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</si>
  <si>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</si>
  <si>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</si>
  <si>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</si>
  <si>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</si>
  <si>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</si>
  <si>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</si>
  <si>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</si>
  <si>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</si>
  <si>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</si>
  <si>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</si>
  <si>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</si>
  <si>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</si>
  <si>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</si>
  <si>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</si>
  <si>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</si>
  <si>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</si>
  <si>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</si>
  <si>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</si>
  <si>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</si>
  <si>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</si>
  <si>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</si>
  <si>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</si>
  <si>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</si>
  <si>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</si>
  <si>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</si>
  <si>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</si>
  <si>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</si>
  <si>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</si>
  <si>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</si>
  <si>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</si>
  <si>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</si>
  <si>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</si>
  <si>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</si>
  <si>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</si>
  <si>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</si>
  <si>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</si>
  <si>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</si>
  <si>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</si>
  <si>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</si>
  <si>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</si>
  <si>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</si>
  <si>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</si>
  <si>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</si>
  <si>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</si>
  <si>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</si>
  <si>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</si>
  <si>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</si>
  <si>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</si>
  <si>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</si>
  <si>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</si>
  <si>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</si>
  <si>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</si>
  <si>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</si>
  <si>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</si>
  <si>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</si>
  <si>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</si>
  <si>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</si>
  <si>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</si>
  <si>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</si>
  <si>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</si>
  <si>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</si>
  <si>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</si>
  <si>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</si>
  <si>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</si>
  <si>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</si>
  <si>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</si>
  <si>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</si>
  <si>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</si>
  <si>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</si>
  <si>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</si>
  <si>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</si>
  <si>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</si>
  <si>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</si>
  <si>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</si>
  <si>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</si>
  <si>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</si>
  <si>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</si>
  <si>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</si>
  <si>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</si>
  <si>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</si>
  <si>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</si>
  <si>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</si>
  <si>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</si>
  <si>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</si>
  <si>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</si>
  <si>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</si>
  <si>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</si>
  <si>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</si>
  <si>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</si>
  <si>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</si>
  <si>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</si>
  <si>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</si>
  <si>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</si>
  <si>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</si>
  <si>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</si>
  <si>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</si>
  <si>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</si>
  <si>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</si>
  <si>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</si>
  <si>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</si>
  <si>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</si>
  <si>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</si>
  <si>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</si>
  <si>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</si>
  <si>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</si>
  <si>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</si>
  <si>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</si>
  <si>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</si>
  <si>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</si>
  <si>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</si>
  <si>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</si>
  <si>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</si>
  <si>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</si>
  <si>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</si>
  <si>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</si>
  <si>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</si>
  <si>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</si>
  <si>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</si>
  <si>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</si>
  <si>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</si>
  <si>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</si>
  <si>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</si>
  <si>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</si>
  <si>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</si>
  <si>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</si>
  <si>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</si>
  <si>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</si>
  <si>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</si>
  <si>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</si>
  <si>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</si>
  <si>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</si>
  <si>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</si>
  <si>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</si>
  <si>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</si>
  <si>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</si>
  <si>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</si>
  <si>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</si>
  <si>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</si>
  <si>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</si>
  <si>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</si>
  <si>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</si>
  <si>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</si>
  <si>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</si>
  <si>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</si>
  <si>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</si>
  <si>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</si>
  <si>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</si>
  <si>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</si>
  <si>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</si>
  <si>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</si>
  <si>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</si>
  <si>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</si>
  <si>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</si>
  <si>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</si>
  <si>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</si>
  <si>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</si>
  <si>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</si>
  <si>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</si>
  <si>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</si>
  <si>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</si>
  <si>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</si>
  <si>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</si>
  <si>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</si>
  <si>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</si>
  <si>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</si>
  <si>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</si>
  <si>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</si>
  <si>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</si>
  <si>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</si>
  <si>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</si>
  <si>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</si>
  <si>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</si>
  <si>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</si>
  <si>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</si>
  <si>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</si>
  <si>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</si>
  <si>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</si>
  <si>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</si>
  <si>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</si>
  <si>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</si>
  <si>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</si>
  <si>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</si>
  <si>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</si>
  <si>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</si>
  <si>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</si>
  <si>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</si>
  <si>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</si>
  <si>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</si>
  <si>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</si>
  <si>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</si>
  <si>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</si>
  <si>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</si>
  <si>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</si>
  <si>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</si>
  <si>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</si>
  <si>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</si>
  <si>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</si>
  <si>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</si>
  <si>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</si>
  <si>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</si>
  <si>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</si>
  <si>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</si>
  <si>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</si>
  <si>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</si>
  <si>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</si>
  <si>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</si>
  <si>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</si>
  <si>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</si>
  <si>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</si>
  <si>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</si>
  <si>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</si>
  <si>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</si>
  <si>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</si>
  <si>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</si>
  <si>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</si>
  <si>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</si>
  <si>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</si>
  <si>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</si>
  <si>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</si>
  <si>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</si>
  <si>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</si>
  <si>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</si>
  <si>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</si>
  <si>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</si>
  <si>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</si>
  <si>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</si>
  <si>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</si>
  <si>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</si>
  <si>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</si>
  <si>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</si>
  <si>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</si>
  <si>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</si>
  <si>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</si>
  <si>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</si>
  <si>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</si>
  <si>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</si>
  <si>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</si>
  <si>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</si>
  <si>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</si>
  <si>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</si>
  <si>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</si>
  <si>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</si>
  <si>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</si>
  <si>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</si>
  <si>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</si>
  <si>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</si>
  <si>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</si>
  <si>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</si>
  <si>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</si>
  <si>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</si>
  <si>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</si>
  <si>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</si>
  <si>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</si>
  <si>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</si>
  <si>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</si>
  <si>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</si>
  <si>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</si>
  <si>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</si>
  <si>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</si>
  <si>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</si>
  <si>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</si>
  <si>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</si>
  <si>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</si>
  <si>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</si>
  <si>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</si>
  <si>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</si>
  <si>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</si>
  <si>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</si>
  <si>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</si>
  <si>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</si>
  <si>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</si>
  <si>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</si>
  <si>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</si>
  <si>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</si>
  <si>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</si>
  <si>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</si>
  <si>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</si>
  <si>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</si>
  <si>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</si>
  <si>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</si>
  <si>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</si>
  <si>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</si>
  <si>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</si>
  <si>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</si>
  <si>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</si>
  <si>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</si>
  <si>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</si>
  <si>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</si>
  <si>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</si>
  <si>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</si>
  <si>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</si>
  <si>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</si>
  <si>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</si>
  <si>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</si>
  <si>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</si>
  <si>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</si>
  <si>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</si>
  <si>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</si>
  <si>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</si>
  <si>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</si>
  <si>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</si>
  <si>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</si>
  <si>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</si>
  <si>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</si>
  <si>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</si>
  <si>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</si>
  <si>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</si>
  <si>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</si>
  <si>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</si>
  <si>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</si>
  <si>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</si>
  <si>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</si>
  <si>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</si>
  <si>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</si>
  <si>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</si>
  <si>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</si>
  <si>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</si>
  <si>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</si>
  <si>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</si>
  <si>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</si>
  <si>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</si>
  <si>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</si>
  <si>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</si>
  <si>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</si>
  <si>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</si>
  <si>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</si>
  <si>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</si>
  <si>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</si>
  <si>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</si>
  <si>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</si>
  <si>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</si>
  <si>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</si>
  <si>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</si>
  <si>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</si>
  <si>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</si>
  <si>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</si>
  <si>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</si>
  <si>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</si>
  <si>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</si>
  <si>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</si>
  <si>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</si>
  <si>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</si>
  <si>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</si>
  <si>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</si>
  <si>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</si>
  <si>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</si>
  <si>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</si>
  <si>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</si>
  <si>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</si>
  <si>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</si>
  <si>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</si>
  <si>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</si>
  <si>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</si>
  <si>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</si>
  <si>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</si>
  <si>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</si>
  <si>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</si>
  <si>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</si>
  <si>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</si>
  <si>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</si>
  <si>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</si>
  <si>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</si>
  <si>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</si>
  <si>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</si>
  <si>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</si>
  <si>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</si>
  <si>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</si>
  <si>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</si>
  <si>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</si>
  <si>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</si>
  <si>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</si>
  <si>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</si>
  <si>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</si>
  <si>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</si>
  <si>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</si>
  <si>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</si>
  <si>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</si>
  <si>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</si>
  <si>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</si>
  <si>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</si>
  <si>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</si>
  <si>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</si>
  <si>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</si>
  <si>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</si>
  <si>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</si>
  <si>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</si>
  <si>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</si>
  <si>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</si>
  <si>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</si>
  <si>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</si>
  <si>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</si>
  <si>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</si>
  <si>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</si>
  <si>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</si>
  <si>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</si>
  <si>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</si>
  <si>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</si>
  <si>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</si>
  <si>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</si>
  <si>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</si>
  <si>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</si>
  <si>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</si>
  <si>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</si>
  <si>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</si>
  <si>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</si>
  <si>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</si>
  <si>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</si>
  <si>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</si>
  <si>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</si>
  <si>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</si>
  <si>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</si>
  <si>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</si>
  <si>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</si>
  <si>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</si>
  <si>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</si>
  <si>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</si>
  <si>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</si>
  <si>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</si>
  <si>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</si>
  <si>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</si>
  <si>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</si>
  <si>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</si>
  <si>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</si>
  <si>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</si>
  <si>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</si>
  <si>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</si>
  <si>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</si>
  <si>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</si>
  <si>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</si>
  <si>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</si>
  <si>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</si>
  <si>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</si>
  <si>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</si>
  <si>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</si>
  <si>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</si>
  <si>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</si>
  <si>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</si>
  <si>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</si>
  <si>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</si>
  <si>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</si>
  <si>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</si>
  <si>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</si>
  <si>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</si>
  <si>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</si>
  <si>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</si>
  <si>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</si>
  <si>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</si>
  <si>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</si>
  <si>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</si>
  <si>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</si>
  <si>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</si>
  <si>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</si>
  <si>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</si>
  <si>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</si>
  <si>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</si>
  <si>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</si>
  <si>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</si>
  <si>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</si>
  <si>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</si>
  <si>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</si>
  <si>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</si>
  <si>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</si>
  <si>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</si>
  <si>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</si>
  <si>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</si>
  <si>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</si>
  <si>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</si>
  <si>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</si>
  <si>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</si>
  <si>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</si>
  <si>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</si>
  <si>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</si>
  <si>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</si>
  <si>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</si>
  <si>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</si>
  <si>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</si>
  <si>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</si>
  <si>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</si>
  <si>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</si>
  <si>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</si>
  <si>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</si>
  <si>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</si>
  <si>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</si>
  <si>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</si>
  <si>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</si>
  <si>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</si>
  <si>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</si>
  <si>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</si>
  <si>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</si>
  <si>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</si>
  <si>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</si>
  <si>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</si>
  <si>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</si>
  <si>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</si>
  <si>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</si>
  <si>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</si>
  <si>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</si>
  <si>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</si>
  <si>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</si>
  <si>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</si>
  <si>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</si>
  <si>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</si>
  <si>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</si>
  <si>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</si>
  <si>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</si>
  <si>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</si>
  <si>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</si>
  <si>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</si>
  <si>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</si>
  <si>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</si>
  <si>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</si>
  <si>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</si>
  <si>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</si>
  <si>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</si>
  <si>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</si>
  <si>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</si>
  <si>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</si>
  <si>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</si>
  <si>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</si>
  <si>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</si>
  <si>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</si>
  <si>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</si>
  <si>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</si>
  <si>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</si>
  <si>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</si>
  <si>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</si>
  <si>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</si>
  <si>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</si>
  <si>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</si>
  <si>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</si>
  <si>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</si>
  <si>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</si>
  <si>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</si>
  <si>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</si>
  <si>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</si>
  <si>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</si>
  <si>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</si>
  <si>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</si>
  <si>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</si>
  <si>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</si>
  <si>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</si>
  <si>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</si>
  <si>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</si>
  <si>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</si>
  <si>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</si>
  <si>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</si>
  <si>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</si>
  <si>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</si>
  <si>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</si>
  <si>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</si>
  <si>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</si>
  <si>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</si>
  <si>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</si>
  <si>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</si>
  <si>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</si>
  <si>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</si>
  <si>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</si>
  <si>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</si>
  <si>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</si>
  <si>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</si>
  <si>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</si>
  <si>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</si>
  <si>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</si>
  <si>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</si>
  <si>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</si>
  <si>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</si>
  <si>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</si>
  <si>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</si>
  <si>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</si>
  <si>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</si>
  <si>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</si>
  <si>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</si>
  <si>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</si>
  <si>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</si>
  <si>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</si>
  <si>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</si>
  <si>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</si>
  <si>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</si>
  <si>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</si>
  <si>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</si>
  <si>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</si>
  <si>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</si>
  <si>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</si>
  <si>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</si>
  <si>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</si>
  <si>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</si>
  <si>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</si>
  <si>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</si>
  <si>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</si>
  <si>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</si>
  <si>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</si>
  <si>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</si>
  <si>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</si>
  <si>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</si>
  <si>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</si>
  <si>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</si>
  <si>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</si>
  <si>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</si>
  <si>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</si>
  <si>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Complete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</si>
  <si>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</si>
  <si>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</si>
  <si>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</si>
  <si>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</si>
  <si>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</si>
  <si>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</si>
  <si>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</si>
  <si>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</si>
  <si>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</si>
  <si>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When you click Add Assembly the prompt is “How many PCBs to add?”, the prompt should be “How many VAP01s to add” – we could also benefit from a change here: first ask what type of VAP01, then ask how many of that specific type to add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</si>
  <si>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</si>
  <si>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</si>
  <si>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</si>
  <si>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</si>
  <si>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</si>
  <si>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</si>
  <si>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</si>
  <si>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</si>
  <si>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</si>
  <si>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</si>
  <si>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</si>
  <si>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</si>
  <si>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</si>
  <si>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</si>
  <si>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</si>
  <si>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</si>
  <si>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</si>
  <si>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</si>
  <si>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</si>
  <si>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</si>
  <si>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</si>
  <si>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</si>
  <si>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</si>
  <si>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</si>
  <si>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</si>
  <si>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</si>
  <si>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</si>
  <si>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</si>
  <si>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</si>
  <si>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</si>
  <si>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</si>
  <si>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</si>
  <si>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</si>
  <si>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</si>
  <si>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</si>
  <si>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</si>
  <si>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</si>
  <si>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</si>
  <si>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</si>
  <si>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</si>
  <si>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</si>
  <si>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</si>
  <si>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</si>
  <si>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</si>
  <si>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</si>
  <si>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</si>
  <si>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</si>
  <si>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</si>
  <si>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</si>
  <si>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</si>
  <si>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</si>
  <si>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</si>
  <si>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</si>
  <si>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</si>
  <si>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</si>
  <si>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</si>
  <si>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</si>
  <si>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</si>
  <si>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</si>
  <si>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</si>
  <si>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</si>
  <si>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</si>
  <si>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</si>
  <si>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</si>
  <si>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</si>
  <si>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Not required</t>
  </si>
  <si>
    <t>Need a way to exit a process half way, such as when entering 50 new VAP100 PCBs, exit after just 10. (AJ investigate)</t>
  </si>
  <si>
    <t>Meeting</t>
  </si>
  <si>
    <t>D:\EX Area\Manufacturing Archives\Products</t>
  </si>
  <si>
    <t>D:\EX Area\Manufacturing Archives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</si>
  <si>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</si>
  <si>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</si>
  <si>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PCB-001</t>
  </si>
  <si>
    <t>PCB-002</t>
  </si>
  <si>
    <t>PCB-003</t>
  </si>
  <si>
    <t>PCB-004</t>
  </si>
  <si>
    <t>D:\EX Area\Manufacturing Archives\Components</t>
  </si>
  <si>
    <t>1</t>
  </si>
  <si>
    <t>2</t>
  </si>
  <si>
    <t>A-001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</si>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</sst>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yy;@"/>
    <numFmt numFmtId="165" formatCode="m/d/yyyy"/>
    <numFmt numFmtId="166" formatCode="dd/mm/yy"/>
    <numFmt numFmtId="167" formatCode="dd/mmm/yyyy"/>
    <numFmt numFmtId="168" formatCode="dd\ mm\ yyyy"/>
    <numFmt numFmtId="169" formatCode="dd\ mmm\ yyyy"/>
  </numFmts>
  <fonts count="29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  <font>
      <strike/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1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17" borderId="0" xfId="0" applyFill="1" applyAlignment="1">
      <alignment wrapText="1"/>
    </xf>
    <xf numFmtId="0" fontId="1" fillId="17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ont="1" applyFill="1" applyAlignment="1">
      <alignment wrapText="1"/>
    </xf>
    <xf numFmtId="0" fontId="0" fillId="7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0" fillId="14" borderId="7" xfId="0" applyNumberFormat="1" applyFont="1" applyFill="1" applyBorder="1" applyAlignment="1">
      <alignment horizontal="center" vertical="center" wrapText="1"/>
    </xf>
    <xf numFmtId="14" fontId="10" fillId="14" borderId="6" xfId="0" applyNumberFormat="1" applyFont="1" applyFill="1" applyBorder="1" applyAlignment="1" applyProtection="1">
      <alignment horizontal="center" vertical="center" wrapText="1"/>
    </xf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165" fontId="0" fillId="0" borderId="0" xfId="0" applyNumberFormat="1" applyFill="1"/>
    <xf numFmtId="0" fontId="1" fillId="0" borderId="0" xfId="0" applyFont="1" applyFill="1"/>
    <xf numFmtId="165" fontId="0" fillId="0" borderId="0" xfId="0" applyNumberFormat="1" applyFill="1" applyProtection="1">
      <protection locked="0"/>
    </xf>
    <xf numFmtId="16" fontId="0" fillId="0" borderId="0" xfId="0" applyNumberFormat="1" applyFill="1"/>
    <xf numFmtId="166" fontId="0" fillId="0" borderId="0" xfId="0" applyNumberFormat="1" applyFill="1"/>
    <xf numFmtId="166" fontId="0" fillId="0" borderId="0" xfId="0" applyNumberFormat="1" applyFill="1" applyProtection="1">
      <protection locked="0"/>
    </xf>
    <xf numFmtId="49" fontId="0" fillId="0" borderId="0" xfId="0" applyNumberFormat="1" applyFill="1"/>
    <xf numFmtId="14" fontId="0" fillId="0" borderId="0" xfId="0" applyNumberFormat="1" applyFill="1" applyProtection="1">
      <protection locked="0"/>
    </xf>
    <xf numFmtId="14" fontId="0" fillId="0" borderId="0" xfId="0" applyNumberFormat="1" applyFill="1"/>
    <xf numFmtId="49" fontId="1" fillId="0" borderId="0" xfId="0" applyNumberFormat="1" applyFont="1" applyFill="1"/>
    <xf numFmtId="167" fontId="0" fillId="0" borderId="0" xfId="0" applyNumberFormat="1" applyFill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0" fontId="28" fillId="0" borderId="0" xfId="0" applyFont="1"/>
    <xf numFmtId="0" fontId="28" fillId="23" borderId="0" xfId="0" applyFont="1" applyFill="1"/>
    <xf numFmtId="0" fontId="0" fillId="23" borderId="0" xfId="0" applyFill="1"/>
    <xf numFmtId="14" fontId="0" fillId="0" borderId="0" xfId="0" applyNumberFormat="1" applyAlignment="1">
      <alignment horizontal="center"/>
    </xf>
    <xf numFmtId="169" fontId="0" fillId="20" borderId="0" xfId="0" applyNumberFormat="1" applyFill="1"/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" fillId="20" borderId="0" xfId="0" applyNumberFormat="1" applyFont="1" applyFill="1"/>
    <xf numFmtId="49" fontId="0" fillId="20" borderId="0" xfId="0" applyNumberFormat="1" applyFill="1"/>
    <xf numFmtId="169" fontId="0" fillId="20" borderId="0" xfId="0" applyNumberFormat="1" applyFill="1" applyProtection="1">
      <protection locked="0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74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120650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527050</xdr:colOff>
          <xdr:row>0</xdr:row>
          <xdr:rowOff>107950</xdr:rowOff>
        </xdr:from>
        <xdr:to>
          <xdr:col>12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450850</xdr:colOff>
          <xdr:row>0</xdr:row>
          <xdr:rowOff>76200</xdr:rowOff>
        </xdr:from>
        <xdr:to>
          <xdr:col>22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31750</xdr:rowOff>
        </xdr:from>
        <xdr:to>
          <xdr:col>35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692150</xdr:colOff>
          <xdr:row>0</xdr:row>
          <xdr:rowOff>76200</xdr:rowOff>
        </xdr:from>
        <xdr:to>
          <xdr:col>33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0</xdr:row>
          <xdr:rowOff>234950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387350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349250</xdr:colOff>
          <xdr:row>0</xdr:row>
          <xdr:rowOff>349250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82550</xdr:rowOff>
        </xdr:from>
        <xdr:to>
          <xdr:col>23</xdr:col>
          <xdr:colOff>679450</xdr:colOff>
          <xdr:row>0</xdr:row>
          <xdr:rowOff>349250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387350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234950</xdr:rowOff>
        </xdr:from>
        <xdr:to>
          <xdr:col>45</xdr:col>
          <xdr:colOff>273050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412750</xdr:colOff>
          <xdr:row>0</xdr:row>
          <xdr:rowOff>82550</xdr:rowOff>
        </xdr:from>
        <xdr:to>
          <xdr:col>23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107950</xdr:rowOff>
        </xdr:from>
        <xdr:to>
          <xdr:col>37</xdr:col>
          <xdr:colOff>146050</xdr:colOff>
          <xdr:row>1</xdr:row>
          <xdr:rowOff>120650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0</xdr:row>
          <xdr:rowOff>76200</xdr:rowOff>
        </xdr:from>
        <xdr:to>
          <xdr:col>31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11" totalsRowShown="0" headerRowDxfId="173" dataDxfId="172" tableBorderDxfId="171">
  <autoFilter ref="A3:J11"/>
  <tableColumns count="10">
    <tableColumn id="1" name="Date Delivered" dataDxfId="170"/>
    <tableColumn id="2" name="PSC Vodec Purchase Order Number" dataDxfId="169"/>
    <tableColumn id="9" name="Type" dataDxfId="168"/>
    <tableColumn id="3" name="Sub-contractor Serial Number" dataDxfId="167"/>
    <tableColumn id="4" name="Assigned" dataDxfId="166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65"/>
    <tableColumn id="6" name="QAI0005" dataDxfId="164"/>
    <tableColumn id="7" name="TP0054" dataDxfId="163"/>
    <tableColumn id="10" name="Availability VAP100A" dataDxfId="162">
      <calculatedColumnFormula>IF(VAP100AE[[#This Row],[Type]]="VAP100A",IF(VAP100AE[[#This Row],[TP0054]]="PASS",IF(E4=0,IF(E4="","",D4),""),""),"")</calculatedColumnFormula>
    </tableColumn>
    <tableColumn id="8" name="Availability VAP100E" dataDxfId="161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4" totalsRowShown="0" headerRowDxfId="160" dataDxfId="38">
  <autoFilter ref="K3:T4"/>
  <tableColumns count="10">
    <tableColumn id="1" name="Date" dataDxfId="48"/>
    <tableColumn id="2" name="PSC PO No" dataDxfId="47"/>
    <tableColumn id="3" name="Type" dataDxfId="46"/>
    <tableColumn id="4" name="Sub-contractor SN" dataDxfId="45"/>
    <tableColumn id="5" name="Assigned" dataDxfId="44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43"/>
    <tableColumn id="7" name="QAI0006" dataDxfId="42"/>
    <tableColumn id="10" name="TP0095" dataDxfId="41"/>
    <tableColumn id="9" name="Availability DX3MC16" dataDxfId="40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39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59" dataDxfId="23">
  <autoFilter ref="U3:AH4"/>
  <tableColumns count="14">
    <tableColumn id="1" name="ID" dataDxfId="37"/>
    <tableColumn id="2" name="Date" dataDxfId="36"/>
    <tableColumn id="3" name="Type" dataDxfId="35"/>
    <tableColumn id="4" name="Membrane SN" dataDxfId="34"/>
    <tableColumn id="5" name="VAP100 SN 1" dataDxfId="33"/>
    <tableColumn id="6" name="VAP100 SN 2" dataDxfId="32"/>
    <tableColumn id="7" name="TP0094/96" dataDxfId="31"/>
    <tableColumn id="8" name="QAI0008/9" dataDxfId="30"/>
    <tableColumn id="9" name="Assigned" dataDxfId="29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28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27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26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5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24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4" totalsRowShown="0" headerRowDxfId="158" dataDxfId="156" headerRowBorderDxfId="157">
  <autoFilter ref="AI3:AT4"/>
  <tableColumns count="12">
    <tableColumn id="1" name="PSC Vodec Serial Number" dataDxfId="155"/>
    <tableColumn id="11" name="Panel Type" dataDxfId="154"/>
    <tableColumn id="12" name="ATEX/IECEx?" dataDxfId="153"/>
    <tableColumn id="2" name="ID/SN" dataDxfId="152"/>
    <tableColumn id="3" name="W/O " dataDxfId="151"/>
    <tableColumn id="4" name="Project Name" dataDxfId="150"/>
    <tableColumn id="5" name="Sales Office" dataDxfId="149"/>
    <tableColumn id="6" name="Despatch Date" dataDxfId="148"/>
    <tableColumn id="7" name="Outwards Documentation" dataDxfId="147"/>
    <tableColumn id="8" name="NCR # (if applicable)" dataDxfId="146"/>
    <tableColumn id="9" name="RMA # (if applicable)" dataDxfId="145"/>
    <tableColumn id="10" name="Comment/Fault or Recall" dataDxfId="14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43" dataDxfId="141" headerRowBorderDxfId="142" tableBorderDxfId="140">
  <autoFilter ref="A3:H9"/>
  <tableColumns count="8">
    <tableColumn id="1" name="Date Delivered" dataDxfId="139"/>
    <tableColumn id="2" name="Bartec Vodec Purchase Order Number" dataDxfId="138"/>
    <tableColumn id="3" name="Sub-contractor Serial Number" dataDxfId="137"/>
    <tableColumn id="8" name="Assigned" dataDxfId="136">
      <calculatedColumnFormula>IF(AND(COUNTIF('VB3'!$AM$4:$AM$4,C4)=1,VB3_PCB[[#This Row],[QAI0001]]="PASS",VB3_PCB[[#This Row],[TP0066]]="PASS"),1,0)</calculatedColumnFormula>
    </tableColumn>
    <tableColumn id="4" name="Delivery Received &amp; Filed" dataDxfId="135"/>
    <tableColumn id="5" name="QAI0001" dataDxfId="134"/>
    <tableColumn id="6" name="TP0066" dataDxfId="133"/>
    <tableColumn id="7" name="Availability List" dataDxfId="132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31" dataDxfId="129" headerRowBorderDxfId="130" tableBorderDxfId="128">
  <autoFilter ref="I3:O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IF(AND(COUNTIF('VB3'!$AD$4:$AD$4,M4)=1,VB3_Castings[[#This Row],[QAI0002]]="PASS"),1,0)</calculatedColumnFormula>
    </tableColumn>
    <tableColumn id="4" name="Component Serial Number" dataDxfId="123"/>
    <tableColumn id="5" name="QAI0002" dataDxfId="122"/>
    <tableColumn id="7" name="Availability List" dataDxfId="121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20" dataDxfId="118" headerRowBorderDxfId="119" tableBorderDxfId="117">
  <autoFilter ref="P3:V4"/>
  <tableColumns count="7">
    <tableColumn id="1" name="Date Delivered" dataDxfId="116"/>
    <tableColumn id="2" name="Bartec Vodec Purchase Order" dataDxfId="115"/>
    <tableColumn id="3" name="Delivery Received &amp; Filed" dataDxfId="114"/>
    <tableColumn id="6" name="Assigned" dataDxfId="113">
      <calculatedColumnFormula>IF(AND(COUNTIF('VB3'!$AE$4:$AE$4,T4)=1,VB3_Wellglass[[#This Row],[QAI0003]]="PASS"),1,0)</calculatedColumnFormula>
    </tableColumn>
    <tableColumn id="4" name="Component Serial Number" dataDxfId="112"/>
    <tableColumn id="5" name="QAI0003" dataDxfId="111"/>
    <tableColumn id="7" name="Availability List" dataDxfId="110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09" dataDxfId="107" headerRowBorderDxfId="108" tableBorderDxfId="106">
  <autoFilter ref="W3:AI4"/>
  <tableColumns count="13">
    <tableColumn id="1" name="Preassembly ID" dataDxfId="105"/>
    <tableColumn id="12" name="Assigned" dataDxfId="104">
      <calculatedColumnFormula>IF(AND(COUNTIF('VB3'!$AN$4:$AN$4,W4)=1,VB3_Preassembly[[#This Row],[TP0065 Result]]="PASS"),1,0)</calculatedColumnFormula>
    </tableColumn>
    <tableColumn id="11" name="Availability List" dataDxfId="103">
      <calculatedColumnFormula>IF(AI4="PASS",IF(X4=0,IF(X4="","",W4),""),"")</calculatedColumnFormula>
    </tableColumn>
    <tableColumn id="2" name="Stycast Batch Part 1 Serial Number" dataDxfId="102"/>
    <tableColumn id="3" name="Stycast Batch Part 1 Date" dataDxfId="101"/>
    <tableColumn id="4" name="Stycast Batch Part 2 Serial Number" dataDxfId="100"/>
    <tableColumn id="5" name="Stycast Batch Part 2 Date" dataDxfId="99"/>
    <tableColumn id="6" name="Castings Serial Number" dataDxfId="98"/>
    <tableColumn id="7" name="Wellglass Serial Number" dataDxfId="97"/>
    <tableColumn id="8" name="Ambient Temp" dataDxfId="96"/>
    <tableColumn id="9" name="TP0065 Operative" dataDxfId="95"/>
    <tableColumn id="13" name="TP0065 Date" dataDxfId="94"/>
    <tableColumn id="10" name="TP0065 Result" dataDxfId="9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92" dataDxfId="90" headerRowBorderDxfId="91" tableBorderDxfId="89">
  <autoFilter ref="AJ3:AQ4"/>
  <tableColumns count="8">
    <tableColumn id="1" name="Internal ID" dataDxfId="88"/>
    <tableColumn id="7" name="Assigned" dataDxfId="87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86">
      <calculatedColumnFormula>IF(AQ4="PASS",IF(AK4=0,IF(AK4="","",AJ4),""),"")</calculatedColumnFormula>
    </tableColumn>
    <tableColumn id="2" name="PCB Serial Number" dataDxfId="85"/>
    <tableColumn id="3" name="Preassembly ID" dataDxfId="84"/>
    <tableColumn id="8" name="TP0067" dataDxfId="83"/>
    <tableColumn id="4" name="TP0069" dataDxfId="82"/>
    <tableColumn id="5" name="QAI0004" dataDxfId="8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80" tableBorderDxfId="79">
  <autoFilter ref="AR3:BE4"/>
  <tableColumns count="14">
    <tableColumn id="1" name="Bartec Vodec Serial Number" dataDxfId="78"/>
    <tableColumn id="2" name="VB3 Assembly ID" dataDxfId="77"/>
    <tableColumn id="3" name="Voltage" dataDxfId="76"/>
    <tableColumn id="4" name="Colour" dataDxfId="75"/>
    <tableColumn id="5" name="Torquing Up" dataDxfId="74"/>
    <tableColumn id="6" name="QAI0005" dataDxfId="73"/>
    <tableColumn id="7" name="W/O "/>
    <tableColumn id="8" name="Project Name"/>
    <tableColumn id="9" name="Sales Office"/>
    <tableColumn id="10" name="Despatch Date" dataDxfId="72"/>
    <tableColumn id="11" name="Outwards Documentation" dataDxfId="71"/>
    <tableColumn id="12" name="NCR # (if applicable)" dataDxfId="70"/>
    <tableColumn id="13" name="RMA # (if applicable)" dataDxfId="69"/>
    <tableColumn id="14" name="Comment/Fault or Recall" dataDxfId="6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4" totalsRowShown="0" headerRowDxfId="67" dataDxfId="14">
  <autoFilter ref="A3:H4"/>
  <tableColumns count="8">
    <tableColumn id="1" name="Date Delivered" dataDxfId="22"/>
    <tableColumn id="2" name=" PSC Vodec Purchase Order Number" dataDxfId="21"/>
    <tableColumn id="3" name="Sub-contractor Serial Number" dataDxfId="20"/>
    <tableColumn id="4" name="Assigned" dataDxfId="19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18"/>
    <tableColumn id="6" name="QAI0010" dataDxfId="17"/>
    <tableColumn id="7" name="TP0041" dataDxfId="16"/>
    <tableColumn id="8" name="Availability" dataDxfId="15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66">
  <autoFilter ref="I3:U4"/>
  <tableColumns count="13">
    <tableColumn id="1" name="Date Delivered" dataDxfId="65"/>
    <tableColumn id="2" name="Bartec Vodec Purchase Order Number" dataDxfId="64"/>
    <tableColumn id="3" name="Serial Number"/>
    <tableColumn id="4" name="Type"/>
    <tableColumn id="5" name="Assigned"/>
    <tableColumn id="6" name="Delivery Received &amp; Filed"/>
    <tableColumn id="7" name="QAI0011"/>
    <tableColumn id="8" name="Availiability 11"/>
    <tableColumn id="9" name="Availability 12"/>
    <tableColumn id="10" name="Availability 13"/>
    <tableColumn id="11" name="Availability 21"/>
    <tableColumn id="12" name="Availability 22"/>
    <tableColumn id="13" name="Availability 2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4" totalsRowShown="0" headerRowDxfId="63" dataDxfId="0">
  <autoFilter ref="V3:AH4"/>
  <tableColumns count="13">
    <tableColumn id="1" name="ID" dataDxfId="13"/>
    <tableColumn id="3" name="Entry Date" dataDxfId="12"/>
    <tableColumn id="2" name="Type" dataDxfId="11"/>
    <tableColumn id="4" name="VAP100B SN" dataDxfId="10"/>
    <tableColumn id="5" name="TP0016" dataDxfId="9"/>
    <tableColumn id="6" name="QAI0011" dataDxfId="8"/>
    <tableColumn id="7" name="Assigned" dataDxfId="7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6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5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2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62" dataDxfId="61">
  <autoFilter ref="AI3:AT4"/>
  <tableColumns count="12">
    <tableColumn id="1" name="PSC V SN" dataDxfId="60"/>
    <tableColumn id="12" name="VAP01 ID" dataDxfId="59"/>
    <tableColumn id="2" name="Type" dataDxfId="58"/>
    <tableColumn id="3" name="Ex Type" dataDxfId="57"/>
    <tableColumn id="4" name="WO No" dataDxfId="56"/>
    <tableColumn id="5" name="Project" dataDxfId="55"/>
    <tableColumn id="6" name="Sales Office" dataDxfId="54"/>
    <tableColumn id="7" name="Despatch Date" dataDxfId="53"/>
    <tableColumn id="8" name="Outwards Documentation" dataDxfId="52"/>
    <tableColumn id="9" name="NCR # (if applicable)" dataDxfId="51"/>
    <tableColumn id="10" name="RMA # (if applicable)" dataDxfId="50"/>
    <tableColumn id="11" name="Comment/Fault or Recall" dataDxfId="4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90625" style="6" customWidth="1"/>
    <col min="3" max="3" width="30.90625" style="23" bestFit="1" customWidth="1"/>
    <col min="4" max="4" width="11.54296875" style="13" customWidth="1"/>
    <col min="5" max="5" width="8.984375E-2" style="13" hidden="1" customWidth="1"/>
    <col min="6" max="6" width="18" style="83" bestFit="1" customWidth="1"/>
    <col min="7" max="7" width="9.08984375" style="13" customWidth="1"/>
    <col min="8" max="8" width="12.08984375" style="13" bestFit="1" customWidth="1"/>
    <col min="9" max="9" width="10.08984375" style="13" bestFit="1" customWidth="1"/>
    <col min="10" max="10" width="12" style="13" bestFit="1" customWidth="1"/>
    <col min="11" max="11" width="28.089843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80" t="s">
        <v>1272</v>
      </c>
      <c r="B2" s="280"/>
      <c r="C2" s="280"/>
      <c r="D2" s="280"/>
      <c r="E2" s="280"/>
      <c r="F2" s="280"/>
      <c r="G2" s="280"/>
      <c r="H2" s="280"/>
      <c r="I2" s="280"/>
      <c r="J2" s="280"/>
      <c r="K2" s="280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1">
        <v>1303</v>
      </c>
      <c r="B1177" s="283" t="s">
        <v>1507</v>
      </c>
      <c r="C1177" s="45" t="s">
        <v>1581</v>
      </c>
      <c r="D1177" s="285" t="s">
        <v>1580</v>
      </c>
      <c r="E1177" s="10"/>
      <c r="F1177" s="287" t="s">
        <v>1583</v>
      </c>
      <c r="G1177" s="285" t="s">
        <v>1179</v>
      </c>
      <c r="H1177" s="289">
        <v>42318</v>
      </c>
      <c r="I1177" s="285" t="s">
        <v>1181</v>
      </c>
      <c r="J1177" s="289">
        <v>42318</v>
      </c>
      <c r="K1177" s="43" t="s">
        <v>1584</v>
      </c>
    </row>
    <row r="1178" spans="1:11" x14ac:dyDescent="0.25">
      <c r="A1178" s="282"/>
      <c r="B1178" s="284"/>
      <c r="C1178" s="45" t="s">
        <v>1582</v>
      </c>
      <c r="D1178" s="286"/>
      <c r="E1178" s="10"/>
      <c r="F1178" s="288"/>
      <c r="G1178" s="286"/>
      <c r="H1178" s="290"/>
      <c r="I1178" s="286"/>
      <c r="J1178" s="290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1">
        <v>1306</v>
      </c>
      <c r="B1187" s="283" t="s">
        <v>257</v>
      </c>
      <c r="C1187" s="45" t="s">
        <v>1599</v>
      </c>
      <c r="D1187" s="285" t="s">
        <v>1601</v>
      </c>
      <c r="E1187" s="10"/>
      <c r="F1187" s="285" t="s">
        <v>33</v>
      </c>
      <c r="G1187" s="285" t="s">
        <v>1202</v>
      </c>
      <c r="H1187" s="289">
        <v>42388</v>
      </c>
      <c r="I1187" s="285" t="s">
        <v>1368</v>
      </c>
      <c r="J1187" s="285" t="s">
        <v>1602</v>
      </c>
      <c r="K1187" s="283" t="s">
        <v>1603</v>
      </c>
    </row>
    <row r="1188" spans="1:11" x14ac:dyDescent="0.25">
      <c r="A1188" s="282"/>
      <c r="B1188" s="284"/>
      <c r="C1188" s="80" t="s">
        <v>1600</v>
      </c>
      <c r="D1188" s="286"/>
      <c r="E1188" s="10"/>
      <c r="F1188" s="286"/>
      <c r="G1188" s="286"/>
      <c r="H1188" s="290"/>
      <c r="I1188" s="286"/>
      <c r="J1188" s="286"/>
      <c r="K1188" s="284"/>
    </row>
    <row r="1189" spans="1:11" x14ac:dyDescent="0.25">
      <c r="A1189" s="281">
        <v>1307</v>
      </c>
      <c r="B1189" s="283" t="s">
        <v>257</v>
      </c>
      <c r="C1189" s="45" t="s">
        <v>1604</v>
      </c>
      <c r="D1189" s="285" t="s">
        <v>1601</v>
      </c>
      <c r="E1189" s="10"/>
      <c r="F1189" s="285" t="s">
        <v>33</v>
      </c>
      <c r="G1189" s="285" t="s">
        <v>1202</v>
      </c>
      <c r="H1189" s="289">
        <v>42388</v>
      </c>
      <c r="I1189" s="285" t="s">
        <v>1368</v>
      </c>
      <c r="J1189" s="285" t="s">
        <v>1602</v>
      </c>
      <c r="K1189" s="283" t="s">
        <v>1606</v>
      </c>
    </row>
    <row r="1190" spans="1:11" x14ac:dyDescent="0.25">
      <c r="A1190" s="282"/>
      <c r="B1190" s="284"/>
      <c r="C1190" s="80" t="s">
        <v>1605</v>
      </c>
      <c r="D1190" s="286"/>
      <c r="E1190" s="10"/>
      <c r="F1190" s="286"/>
      <c r="G1190" s="286"/>
      <c r="H1190" s="290"/>
      <c r="I1190" s="286"/>
      <c r="J1190" s="286"/>
      <c r="K1190" s="284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84"/>
  <sheetViews>
    <sheetView zoomScale="90" zoomScaleNormal="90" workbookViewId="0">
      <pane ySplit="3" topLeftCell="A4" activePane="bottomLeft" state="frozen"/>
      <selection pane="bottomLeft" activeCell="E25" sqref="E25"/>
    </sheetView>
  </sheetViews>
  <sheetFormatPr defaultRowHeight="12.5" x14ac:dyDescent="0.25"/>
  <cols>
    <col min="1" max="1" width="13.90625" style="139" customWidth="1"/>
    <col min="2" max="2" width="15.54296875" customWidth="1"/>
    <col min="3" max="3" width="13.90625" customWidth="1"/>
    <col min="4" max="4" width="18.54296875" customWidth="1"/>
    <col min="5" max="5" width="14.90625" bestFit="1" customWidth="1"/>
    <col min="6" max="6" width="15.453125" style="139" customWidth="1"/>
    <col min="7" max="7" width="12.54296875" customWidth="1"/>
    <col min="8" max="8" width="11.90625" customWidth="1"/>
    <col min="9" max="9" width="18.453125" customWidth="1"/>
    <col min="10" max="10" width="18" customWidth="1"/>
    <col min="11" max="11" width="11.08984375" style="139" customWidth="1"/>
    <col min="12" max="12" width="11.90625" customWidth="1"/>
    <col min="13" max="13" width="11" bestFit="1" customWidth="1"/>
    <col min="14" max="14" width="17.08984375" customWidth="1"/>
    <col min="15" max="15" width="11" customWidth="1"/>
    <col min="16" max="16" width="16.453125" style="139" customWidth="1"/>
    <col min="17" max="17" width="13.08984375" bestFit="1" customWidth="1"/>
    <col min="18" max="18" width="12.08984375" bestFit="1" customWidth="1"/>
    <col min="19" max="19" width="15.54296875" customWidth="1"/>
    <col min="20" max="20" width="14.90625" customWidth="1"/>
    <col min="21" max="21" width="8.90625" customWidth="1"/>
    <col min="22" max="22" width="12.08984375" style="139" customWidth="1"/>
    <col min="23" max="23" width="11.08984375" customWidth="1"/>
    <col min="24" max="24" width="15" customWidth="1"/>
    <col min="25" max="25" width="16.90625" customWidth="1"/>
    <col min="26" max="26" width="15.90625" customWidth="1"/>
    <col min="27" max="27" width="12.08984375" customWidth="1"/>
    <col min="28" max="28" width="11.90625" customWidth="1"/>
    <col min="29" max="29" width="12" bestFit="1" customWidth="1"/>
    <col min="30" max="30" width="12.08984375" customWidth="1"/>
    <col min="31" max="34" width="12.08984375" bestFit="1" customWidth="1"/>
    <col min="35" max="35" width="15.90625" customWidth="1"/>
    <col min="36" max="37" width="14.90625" customWidth="1"/>
    <col min="38" max="38" width="17.90625" customWidth="1"/>
    <col min="39" max="39" width="11.453125" customWidth="1"/>
    <col min="40" max="40" width="14.54296875" customWidth="1"/>
    <col min="41" max="41" width="17.90625" customWidth="1"/>
    <col min="42" max="42" width="15.90625" customWidth="1"/>
    <col min="43" max="43" width="25.08984375" customWidth="1"/>
    <col min="44" max="45" width="20.54296875" customWidth="1"/>
    <col min="46" max="46" width="25.90625" customWidth="1"/>
  </cols>
  <sheetData>
    <row r="1" spans="1:46" ht="13" x14ac:dyDescent="0.25">
      <c r="A1" s="291" t="s">
        <v>1658</v>
      </c>
      <c r="B1" s="291"/>
      <c r="C1" s="291"/>
      <c r="D1" s="291"/>
      <c r="E1" s="291"/>
      <c r="F1" s="291"/>
      <c r="G1" s="291"/>
      <c r="H1" s="291"/>
      <c r="I1" s="157"/>
      <c r="J1" s="154"/>
      <c r="K1" s="293" t="s">
        <v>1660</v>
      </c>
      <c r="L1" s="293"/>
      <c r="M1" s="293"/>
      <c r="N1" s="293"/>
      <c r="O1" s="293"/>
      <c r="P1" s="293"/>
      <c r="Q1" s="293"/>
      <c r="R1" s="293"/>
      <c r="S1" s="293"/>
      <c r="T1" s="293"/>
      <c r="U1" s="294" t="s">
        <v>1678</v>
      </c>
      <c r="V1" s="294"/>
      <c r="W1" s="294"/>
      <c r="X1" s="294"/>
      <c r="Y1" s="294"/>
      <c r="Z1" s="294"/>
      <c r="AA1" s="294"/>
      <c r="AB1" s="294"/>
      <c r="AC1" s="294"/>
      <c r="AD1" s="294"/>
      <c r="AE1" s="294"/>
      <c r="AF1" s="294"/>
      <c r="AG1" s="294"/>
      <c r="AH1" s="294"/>
      <c r="AI1" s="295" t="s">
        <v>1672</v>
      </c>
      <c r="AJ1" s="295"/>
      <c r="AK1" s="295"/>
      <c r="AL1" s="295"/>
      <c r="AM1" s="295"/>
      <c r="AN1" s="295"/>
      <c r="AO1" s="295"/>
      <c r="AP1" s="295"/>
      <c r="AQ1" s="295"/>
      <c r="AR1" s="295"/>
      <c r="AS1" s="295"/>
      <c r="AT1" s="295"/>
    </row>
    <row r="2" spans="1:46" ht="13" x14ac:dyDescent="0.25">
      <c r="A2" s="292"/>
      <c r="B2" s="292"/>
      <c r="C2" s="292"/>
      <c r="D2" s="292"/>
      <c r="E2" s="292"/>
      <c r="F2" s="292"/>
      <c r="G2" s="292"/>
      <c r="H2" s="292"/>
      <c r="I2" s="155"/>
      <c r="J2" s="155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5"/>
      <c r="AJ2" s="295"/>
      <c r="AK2" s="295"/>
      <c r="AL2" s="295"/>
      <c r="AM2" s="295"/>
      <c r="AN2" s="295"/>
      <c r="AO2" s="295"/>
      <c r="AP2" s="295"/>
      <c r="AQ2" s="295"/>
      <c r="AR2" s="295"/>
      <c r="AS2" s="295"/>
      <c r="AT2" s="295"/>
    </row>
    <row r="3" spans="1:46" ht="39" x14ac:dyDescent="0.25">
      <c r="A3" s="221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22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23" t="s">
        <v>1661</v>
      </c>
      <c r="L3" s="158" t="s">
        <v>1786</v>
      </c>
      <c r="M3" s="158" t="s">
        <v>1659</v>
      </c>
      <c r="N3" s="159" t="s">
        <v>1662</v>
      </c>
      <c r="O3" s="159" t="s">
        <v>1637</v>
      </c>
      <c r="P3" s="225" t="s">
        <v>1613</v>
      </c>
      <c r="Q3" s="159" t="s">
        <v>1663</v>
      </c>
      <c r="R3" s="159" t="s">
        <v>1795</v>
      </c>
      <c r="S3" s="159" t="s">
        <v>1671</v>
      </c>
      <c r="T3" s="159" t="s">
        <v>1670</v>
      </c>
      <c r="U3" s="163" t="s">
        <v>1664</v>
      </c>
      <c r="V3" s="224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1796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178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182"/>
      <c r="G4" s="184"/>
      <c r="H4" s="183"/>
      <c r="I4" s="254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185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71">
        <v>0</v>
      </c>
      <c r="AJ4" s="268"/>
      <c r="AK4" s="268"/>
      <c r="AL4" s="268"/>
      <c r="AM4" s="269"/>
      <c r="AN4" s="269"/>
      <c r="AO4" s="269"/>
      <c r="AP4" s="269"/>
      <c r="AQ4" s="270"/>
      <c r="AR4" s="270"/>
      <c r="AS4" s="270"/>
      <c r="AT4" s="274"/>
    </row>
    <row r="5" spans="1:46" s="34" customFormat="1" x14ac:dyDescent="0.25">
      <c r="A5" s="279">
        <v>36892</v>
      </c>
      <c r="B5" s="328" t="s">
        <v>1826</v>
      </c>
      <c r="C5" s="179" t="s">
        <v>1507</v>
      </c>
      <c r="D5" s="329" t="s">
        <v>1821</v>
      </c>
      <c r="E5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5" s="330"/>
      <c r="G5" s="184" t="s">
        <v>1644</v>
      </c>
      <c r="H5" s="183" t="s">
        <v>1644</v>
      </c>
      <c r="I5" s="254" t="str">
        <f>IF(VAP100AE[[#This Row],[Type]]="VAP100A",IF(VAP100AE[[#This Row],[TP0054]]="PASS",IF(E5=0,IF(E5="","",D5),""),""),"")</f>
        <v/>
      </c>
      <c r="J5" s="181" t="str">
        <f>IF(VAP100AE[[#This Row],[Type]]="VAP100E",IF(VAP100AE[[#This Row],[TP0054]]="PASS",IF(E5=0,IF(E5="","",D5),""),""),"")</f>
        <v/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s="34" customFormat="1" ht="15" customHeight="1" x14ac:dyDescent="0.25">
      <c r="A6" s="279">
        <v>36892</v>
      </c>
      <c r="B6" s="328" t="s">
        <v>1826</v>
      </c>
      <c r="C6" s="179" t="s">
        <v>1507</v>
      </c>
      <c r="D6" s="329" t="s">
        <v>1822</v>
      </c>
      <c r="E6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6" s="330"/>
      <c r="G6" s="184" t="s">
        <v>1644</v>
      </c>
      <c r="H6" s="183" t="s">
        <v>1644</v>
      </c>
      <c r="I6" s="254" t="str">
        <f>IF(VAP100AE[[#This Row],[Type]]="VAP100A",IF(VAP100AE[[#This Row],[TP0054]]="PASS",IF(E6=0,IF(E6="","",D6),""),""),"")</f>
        <v/>
      </c>
      <c r="J6" s="181" t="str">
        <f>IF(VAP100AE[[#This Row],[Type]]="VAP100E",IF(VAP100AE[[#This Row],[TP0054]]="PASS",IF(E6=0,IF(E6="","",D6),""),""),"")</f>
        <v/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 s="279">
        <v>36892</v>
      </c>
      <c r="B7" s="328" t="s">
        <v>1826</v>
      </c>
      <c r="C7" s="179" t="s">
        <v>1507</v>
      </c>
      <c r="D7" s="329" t="s">
        <v>1823</v>
      </c>
      <c r="E7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7" s="330"/>
      <c r="G7" s="184" t="s">
        <v>1644</v>
      </c>
      <c r="H7" s="183" t="s">
        <v>1644</v>
      </c>
      <c r="I7" s="254" t="str">
        <f>IF(VAP100AE[[#This Row],[Type]]="VAP100A",IF(VAP100AE[[#This Row],[TP0054]]="PASS",IF(E7=0,IF(E7="","",D7),""),""),"")</f>
        <v/>
      </c>
      <c r="J7" s="181" t="str">
        <f>IF(VAP100AE[[#This Row],[Type]]="VAP100E",IF(VAP100AE[[#This Row],[TP0054]]="PASS",IF(E7=0,IF(E7="","",D7),""),""),"")</f>
        <v/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 s="279">
        <v>36892</v>
      </c>
      <c r="B8" s="328" t="s">
        <v>1826</v>
      </c>
      <c r="C8" s="179" t="s">
        <v>1507</v>
      </c>
      <c r="D8" s="329" t="s">
        <v>1824</v>
      </c>
      <c r="E8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8" s="330"/>
      <c r="G8" s="184" t="s">
        <v>1644</v>
      </c>
      <c r="H8" s="183" t="s">
        <v>1644</v>
      </c>
      <c r="I8" s="254" t="str">
        <f>IF(VAP100AE[[#This Row],[Type]]="VAP100A",IF(VAP100AE[[#This Row],[TP0054]]="PASS",IF(E8=0,IF(E8="","",D8),""),""),"")</f>
        <v/>
      </c>
      <c r="J8" s="181" t="str">
        <f>IF(VAP100AE[[#This Row],[Type]]="VAP100E",IF(VAP100AE[[#This Row],[TP0054]]="PASS",IF(E8=0,IF(E8="","",D8),""),""),"")</f>
        <v/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s="34" customFormat="1" x14ac:dyDescent="0.25">
      <c r="A9" s="279">
        <v>36892</v>
      </c>
      <c r="B9" s="328" t="s">
        <v>1827</v>
      </c>
      <c r="C9" s="179" t="s">
        <v>257</v>
      </c>
      <c r="D9" s="329" t="s">
        <v>1828</v>
      </c>
      <c r="E9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9" s="330"/>
      <c r="G9" s="184" t="s">
        <v>1644</v>
      </c>
      <c r="H9" s="183" t="s">
        <v>1644</v>
      </c>
      <c r="I9" s="254" t="str">
        <f>IF(VAP100AE[[#This Row],[Type]]="VAP100A",IF(VAP100AE[[#This Row],[TP0054]]="PASS",IF(E9=0,IF(E9="","",D9),""),""),"")</f>
        <v/>
      </c>
      <c r="J9" s="181" t="str">
        <f>IF(VAP100AE[[#This Row],[Type]]="VAP100E",IF(VAP100AE[[#This Row],[TP0054]]="PASS",IF(E9=0,IF(E9="","",D9),""),""),"")</f>
        <v/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s="34" customFormat="1" x14ac:dyDescent="0.25">
      <c r="A10" s="279">
        <v>36892</v>
      </c>
      <c r="B10" s="328" t="s">
        <v>1829</v>
      </c>
      <c r="C10" s="179" t="s">
        <v>1507</v>
      </c>
      <c r="D10" s="329" t="s">
        <v>1826</v>
      </c>
      <c r="E10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0" s="330"/>
      <c r="G10" s="184" t="s">
        <v>1644</v>
      </c>
      <c r="H10" s="183" t="s">
        <v>1644</v>
      </c>
      <c r="I10" s="254" t="str">
        <f>IF(VAP100AE[[#This Row],[Type]]="VAP100A",IF(VAP100AE[[#This Row],[TP0054]]="PASS",IF(E10=0,IF(E10="","",D10),""),""),"")</f>
        <v/>
      </c>
      <c r="J10" s="181" t="str">
        <f>IF(VAP100AE[[#This Row],[Type]]="VAP100E",IF(VAP100AE[[#This Row],[TP0054]]="PASS",IF(E10=0,IF(E10="","",D10),""),""),"")</f>
        <v/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s="34" customFormat="1" x14ac:dyDescent="0.25">
      <c r="A11" s="279">
        <v>36892</v>
      </c>
      <c r="B11" s="328" t="s">
        <v>1829</v>
      </c>
      <c r="C11" s="179" t="s">
        <v>1507</v>
      </c>
      <c r="D11" s="329" t="s">
        <v>1827</v>
      </c>
      <c r="E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1" s="330"/>
      <c r="G11" s="184" t="s">
        <v>1644</v>
      </c>
      <c r="H11" s="183" t="s">
        <v>1644</v>
      </c>
      <c r="I11" s="254" t="str">
        <f>IF(VAP100AE[[#This Row],[Type]]="VAP100A",IF(VAP100AE[[#This Row],[TP0054]]="PASS",IF(E11=0,IF(E11="","",D11),""),""),"")</f>
        <v/>
      </c>
      <c r="J11" s="181" t="str">
        <f>IF(VAP100AE[[#This Row],[Type]]="VAP100E",IF(VAP100AE[[#This Row],[TP0054]]="PASS",IF(E11=0,IF(E11="","",D11),""),""),"")</f>
        <v/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s="34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34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s="34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s="34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s="34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34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3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3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3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x14ac:dyDescent="0.25">
      <c r="A21"/>
      <c r="F21"/>
      <c r="K21"/>
      <c r="P21"/>
      <c r="V21"/>
    </row>
    <row r="22" spans="1:46" x14ac:dyDescent="0.25">
      <c r="A22"/>
      <c r="F22"/>
      <c r="K22"/>
      <c r="P22"/>
      <c r="V22"/>
    </row>
    <row r="23" spans="1:46" x14ac:dyDescent="0.25">
      <c r="A23"/>
      <c r="F23"/>
      <c r="K23"/>
      <c r="P23"/>
      <c r="V23"/>
    </row>
    <row r="24" spans="1:46" x14ac:dyDescent="0.25">
      <c r="A24"/>
      <c r="F24"/>
      <c r="K24"/>
      <c r="P24"/>
      <c r="V24"/>
    </row>
    <row r="25" spans="1:46" x14ac:dyDescent="0.25">
      <c r="A25"/>
      <c r="F25"/>
      <c r="K25"/>
      <c r="P25"/>
      <c r="V25"/>
    </row>
    <row r="26" spans="1:46" x14ac:dyDescent="0.25">
      <c r="A26"/>
      <c r="F26"/>
      <c r="K26"/>
      <c r="P26"/>
      <c r="V26"/>
    </row>
    <row r="27" spans="1:46" x14ac:dyDescent="0.25">
      <c r="A27"/>
      <c r="F27"/>
      <c r="K27"/>
      <c r="P27"/>
      <c r="V27"/>
    </row>
    <row r="28" spans="1:46" x14ac:dyDescent="0.25">
      <c r="A28"/>
      <c r="F28"/>
      <c r="K28"/>
      <c r="P28"/>
      <c r="V28"/>
    </row>
    <row r="29" spans="1:46" x14ac:dyDescent="0.25">
      <c r="A29"/>
      <c r="F29"/>
      <c r="K29"/>
      <c r="P29"/>
      <c r="V29"/>
    </row>
    <row r="30" spans="1:46" x14ac:dyDescent="0.25">
      <c r="A30"/>
      <c r="F30"/>
      <c r="K30"/>
      <c r="P30"/>
      <c r="V30"/>
    </row>
    <row r="31" spans="1:46" x14ac:dyDescent="0.25">
      <c r="A31"/>
      <c r="F31"/>
      <c r="K31"/>
      <c r="P31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6" x14ac:dyDescent="0.25">
      <c r="A32"/>
      <c r="F32"/>
      <c r="K32"/>
      <c r="P32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/>
      <c r="F33"/>
      <c r="K33"/>
      <c r="P33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/>
      <c r="F34"/>
      <c r="K34"/>
      <c r="P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/>
      <c r="F35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/>
      <c r="F36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/>
      <c r="F37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170"/>
      <c r="AE37" s="170"/>
      <c r="AF37" s="170"/>
      <c r="AG37" s="170"/>
      <c r="AH37" s="170"/>
    </row>
    <row r="38" spans="1:34" x14ac:dyDescent="0.25">
      <c r="A38"/>
      <c r="F38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170"/>
      <c r="AE38" s="170"/>
      <c r="AF38" s="170"/>
      <c r="AG38" s="170"/>
      <c r="AH38" s="170"/>
    </row>
    <row r="39" spans="1:34" x14ac:dyDescent="0.25">
      <c r="A39"/>
      <c r="F39"/>
      <c r="K39" s="34"/>
      <c r="L39" s="34"/>
      <c r="M39" s="34"/>
      <c r="N39" s="34"/>
      <c r="O39" s="34"/>
      <c r="P39" s="34"/>
      <c r="Q39" s="34"/>
      <c r="R39" s="34"/>
      <c r="S39" s="34"/>
      <c r="T39" s="34"/>
      <c r="V39"/>
    </row>
    <row r="40" spans="1:34" x14ac:dyDescent="0.25">
      <c r="A40"/>
      <c r="F40"/>
      <c r="K40" s="34"/>
      <c r="L40" s="34"/>
      <c r="M40" s="34"/>
      <c r="N40" s="34"/>
      <c r="O40" s="34"/>
      <c r="P40" s="34"/>
      <c r="Q40" s="34"/>
      <c r="R40" s="34"/>
      <c r="S40" s="34"/>
      <c r="T40" s="34"/>
      <c r="V40"/>
    </row>
    <row r="41" spans="1:34" x14ac:dyDescent="0.25">
      <c r="A41"/>
      <c r="F41"/>
      <c r="K41" s="34"/>
      <c r="L41" s="34"/>
      <c r="M41" s="34"/>
      <c r="N41" s="34"/>
      <c r="O41" s="34"/>
      <c r="P41" s="34"/>
      <c r="Q41" s="34"/>
      <c r="R41" s="34"/>
      <c r="S41" s="34"/>
      <c r="T41" s="34"/>
      <c r="V41"/>
    </row>
    <row r="42" spans="1:34" x14ac:dyDescent="0.25">
      <c r="A42"/>
      <c r="F42"/>
      <c r="K42" s="34"/>
      <c r="L42" s="34"/>
      <c r="M42" s="34"/>
      <c r="N42" s="34"/>
      <c r="O42" s="34"/>
      <c r="P42" s="34"/>
      <c r="Q42" s="34"/>
      <c r="R42" s="34"/>
      <c r="S42" s="34"/>
      <c r="T42" s="34"/>
      <c r="V42"/>
    </row>
    <row r="43" spans="1:34" x14ac:dyDescent="0.25">
      <c r="A43"/>
      <c r="F43"/>
      <c r="K43" s="34"/>
      <c r="L43" s="34"/>
      <c r="M43" s="34"/>
      <c r="N43" s="34"/>
      <c r="O43" s="34"/>
      <c r="P43" s="34"/>
      <c r="Q43" s="34"/>
      <c r="R43" s="34"/>
      <c r="S43" s="34"/>
      <c r="T43" s="34"/>
      <c r="V43"/>
    </row>
    <row r="44" spans="1:34" x14ac:dyDescent="0.25">
      <c r="A44"/>
      <c r="F44"/>
      <c r="K44" s="34"/>
      <c r="L44" s="34"/>
      <c r="M44" s="34"/>
      <c r="N44" s="34"/>
      <c r="O44" s="34"/>
      <c r="P44" s="34"/>
      <c r="Q44" s="34"/>
      <c r="R44" s="34"/>
      <c r="S44" s="34"/>
      <c r="T44" s="34"/>
      <c r="V44"/>
    </row>
    <row r="45" spans="1:34" x14ac:dyDescent="0.25">
      <c r="A45"/>
      <c r="F45"/>
      <c r="K45" s="34"/>
      <c r="L45" s="34"/>
      <c r="M45" s="34"/>
      <c r="N45" s="34"/>
      <c r="O45" s="34"/>
      <c r="P45" s="34"/>
      <c r="Q45" s="34"/>
      <c r="R45" s="34"/>
      <c r="S45" s="34"/>
      <c r="T45" s="34"/>
      <c r="V45"/>
    </row>
    <row r="46" spans="1:34" x14ac:dyDescent="0.25">
      <c r="A46"/>
      <c r="F46"/>
      <c r="K46"/>
      <c r="P46"/>
      <c r="V46"/>
    </row>
    <row r="47" spans="1:34" x14ac:dyDescent="0.25">
      <c r="A47"/>
      <c r="F47"/>
      <c r="K47"/>
      <c r="P47"/>
      <c r="V47"/>
    </row>
    <row r="48" spans="1:34" x14ac:dyDescent="0.25">
      <c r="A48"/>
      <c r="F48"/>
      <c r="K48"/>
      <c r="P48"/>
      <c r="V48"/>
    </row>
    <row r="49" spans="1:22" x14ac:dyDescent="0.25">
      <c r="A49"/>
      <c r="F49"/>
      <c r="K49"/>
      <c r="P49"/>
      <c r="V49"/>
    </row>
    <row r="50" spans="1:22" x14ac:dyDescent="0.25">
      <c r="A50"/>
      <c r="F50"/>
      <c r="K50"/>
      <c r="P50"/>
      <c r="V50"/>
    </row>
    <row r="51" spans="1:22" x14ac:dyDescent="0.25">
      <c r="A51"/>
      <c r="F51"/>
      <c r="K51"/>
      <c r="P51"/>
      <c r="V51"/>
    </row>
    <row r="52" spans="1:22" x14ac:dyDescent="0.25">
      <c r="A52"/>
      <c r="F52"/>
      <c r="K52"/>
      <c r="P52"/>
      <c r="V52"/>
    </row>
    <row r="53" spans="1:22" x14ac:dyDescent="0.25">
      <c r="A53"/>
      <c r="F53"/>
      <c r="K53"/>
      <c r="P53"/>
      <c r="V53"/>
    </row>
    <row r="54" spans="1:22" x14ac:dyDescent="0.25">
      <c r="A54"/>
      <c r="F54"/>
      <c r="K54"/>
      <c r="P54"/>
      <c r="S54" s="226"/>
      <c r="V54"/>
    </row>
    <row r="55" spans="1:22" x14ac:dyDescent="0.25">
      <c r="A55"/>
      <c r="F55"/>
      <c r="K55"/>
      <c r="P55"/>
      <c r="S55" s="226"/>
      <c r="V55"/>
    </row>
    <row r="56" spans="1:22" x14ac:dyDescent="0.25">
      <c r="A56"/>
      <c r="F56"/>
      <c r="K56"/>
      <c r="P56"/>
      <c r="S56" s="226"/>
      <c r="V56"/>
    </row>
    <row r="57" spans="1:22" x14ac:dyDescent="0.25">
      <c r="A57"/>
      <c r="F57"/>
      <c r="K57"/>
      <c r="P57"/>
      <c r="S57" s="226"/>
      <c r="V57"/>
    </row>
    <row r="58" spans="1:22" x14ac:dyDescent="0.25">
      <c r="A58"/>
      <c r="F58"/>
      <c r="K58"/>
      <c r="P58"/>
      <c r="S58" s="226"/>
      <c r="V58"/>
    </row>
    <row r="59" spans="1:22" x14ac:dyDescent="0.25">
      <c r="A59"/>
      <c r="F59"/>
      <c r="K59"/>
      <c r="P59"/>
      <c r="S59" s="226"/>
      <c r="V59"/>
    </row>
    <row r="60" spans="1:22" x14ac:dyDescent="0.25">
      <c r="A60"/>
      <c r="F60"/>
      <c r="K60"/>
      <c r="P60"/>
      <c r="S60" s="226"/>
      <c r="V60"/>
    </row>
    <row r="61" spans="1:22" x14ac:dyDescent="0.25">
      <c r="A61"/>
      <c r="F61"/>
      <c r="K61"/>
      <c r="P61"/>
      <c r="S61" s="226"/>
      <c r="V61"/>
    </row>
    <row r="62" spans="1:22" x14ac:dyDescent="0.25">
      <c r="A62"/>
      <c r="F62"/>
      <c r="K62"/>
      <c r="P62"/>
      <c r="S62" s="226"/>
      <c r="V62"/>
    </row>
    <row r="63" spans="1:22" x14ac:dyDescent="0.25">
      <c r="A63"/>
      <c r="F63"/>
      <c r="K63"/>
      <c r="P63"/>
      <c r="S63" s="226"/>
      <c r="V63"/>
    </row>
    <row r="64" spans="1:22" x14ac:dyDescent="0.25">
      <c r="A64"/>
      <c r="F64"/>
      <c r="K64"/>
      <c r="P64"/>
      <c r="S64" s="226"/>
      <c r="V64"/>
    </row>
    <row r="65" spans="1:46" x14ac:dyDescent="0.25">
      <c r="A65"/>
      <c r="F65"/>
      <c r="K65"/>
      <c r="P65"/>
      <c r="S65" s="226"/>
      <c r="V65"/>
    </row>
    <row r="66" spans="1:46" x14ac:dyDescent="0.25">
      <c r="A66"/>
      <c r="F66"/>
      <c r="K66"/>
      <c r="P66"/>
      <c r="S66" s="226"/>
      <c r="V66"/>
    </row>
    <row r="67" spans="1:46" x14ac:dyDescent="0.25">
      <c r="A67"/>
      <c r="F67"/>
      <c r="K67"/>
      <c r="P67"/>
      <c r="S67" s="226"/>
      <c r="V67"/>
    </row>
    <row r="68" spans="1:46" x14ac:dyDescent="0.25">
      <c r="A68"/>
      <c r="F68"/>
      <c r="K68"/>
      <c r="P68"/>
      <c r="S68" s="226"/>
      <c r="V68"/>
    </row>
    <row r="69" spans="1:46" x14ac:dyDescent="0.25">
      <c r="A69"/>
      <c r="F69"/>
      <c r="K69"/>
      <c r="P69"/>
      <c r="V69"/>
    </row>
    <row r="70" spans="1:46" x14ac:dyDescent="0.25">
      <c r="A70"/>
      <c r="F70"/>
      <c r="K70"/>
      <c r="P70"/>
      <c r="V70"/>
    </row>
    <row r="71" spans="1:46" x14ac:dyDescent="0.25">
      <c r="A71"/>
      <c r="F71"/>
      <c r="K71"/>
      <c r="P71"/>
      <c r="V71"/>
    </row>
    <row r="72" spans="1:46" x14ac:dyDescent="0.25">
      <c r="A72"/>
      <c r="F72"/>
      <c r="K72"/>
      <c r="P72"/>
      <c r="V72"/>
    </row>
    <row r="73" spans="1:46" x14ac:dyDescent="0.25">
      <c r="A73"/>
      <c r="F73"/>
      <c r="K73"/>
      <c r="P73"/>
      <c r="V73"/>
    </row>
    <row r="74" spans="1:46" x14ac:dyDescent="0.25">
      <c r="A74"/>
      <c r="F74"/>
      <c r="K74"/>
      <c r="P74"/>
      <c r="V74"/>
      <c r="AI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</row>
    <row r="75" spans="1:46" x14ac:dyDescent="0.25">
      <c r="A75"/>
      <c r="F75"/>
      <c r="K75"/>
      <c r="P75"/>
      <c r="V75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</row>
    <row r="76" spans="1:46" x14ac:dyDescent="0.25">
      <c r="A76"/>
      <c r="F76"/>
      <c r="K76"/>
      <c r="P76"/>
      <c r="V76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</row>
    <row r="77" spans="1:46" x14ac:dyDescent="0.25">
      <c r="A77"/>
      <c r="F77"/>
      <c r="K77"/>
      <c r="P77"/>
      <c r="U77" s="34"/>
      <c r="V77" s="164"/>
      <c r="W77" s="34"/>
      <c r="X77" s="167"/>
      <c r="Y77" s="166"/>
      <c r="Z77" s="166"/>
      <c r="AA77" s="166"/>
      <c r="AB77" s="166"/>
      <c r="AC77" s="171"/>
      <c r="AD77" s="167"/>
      <c r="AE77" s="167"/>
      <c r="AF77" s="167"/>
      <c r="AG77" s="171"/>
      <c r="AH77" s="171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</row>
    <row r="78" spans="1:46" x14ac:dyDescent="0.25">
      <c r="A78"/>
      <c r="F78"/>
      <c r="K78"/>
      <c r="P78"/>
      <c r="V7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</row>
    <row r="79" spans="1:46" x14ac:dyDescent="0.25">
      <c r="A79"/>
      <c r="F79"/>
      <c r="K79"/>
      <c r="P79"/>
      <c r="V79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</row>
    <row r="80" spans="1:46" x14ac:dyDescent="0.25">
      <c r="A80"/>
      <c r="F80"/>
      <c r="K80"/>
      <c r="P80"/>
      <c r="V80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</row>
    <row r="81" spans="1:46" x14ac:dyDescent="0.25">
      <c r="A81"/>
      <c r="F81"/>
      <c r="K81"/>
      <c r="P81"/>
      <c r="V81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</row>
    <row r="82" spans="1:46" x14ac:dyDescent="0.25">
      <c r="A82"/>
      <c r="F82"/>
      <c r="K82"/>
      <c r="N82" s="226"/>
      <c r="P82"/>
      <c r="V82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</row>
    <row r="83" spans="1:46" x14ac:dyDescent="0.25">
      <c r="A83"/>
      <c r="F83"/>
      <c r="K83"/>
      <c r="P83"/>
      <c r="V83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</row>
    <row r="84" spans="1:46" x14ac:dyDescent="0.25">
      <c r="A84"/>
      <c r="F84"/>
      <c r="K84"/>
      <c r="P84"/>
      <c r="V8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</row>
    <row r="85" spans="1:46" x14ac:dyDescent="0.25">
      <c r="A85"/>
      <c r="F85"/>
      <c r="K85"/>
      <c r="P85"/>
      <c r="V85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</row>
    <row r="86" spans="1:46" x14ac:dyDescent="0.25">
      <c r="A86"/>
      <c r="F86"/>
      <c r="K86"/>
      <c r="P86"/>
      <c r="V86"/>
    </row>
    <row r="87" spans="1:46" x14ac:dyDescent="0.25">
      <c r="A87"/>
      <c r="F87"/>
      <c r="K87"/>
      <c r="P87"/>
      <c r="V87"/>
    </row>
    <row r="88" spans="1:46" x14ac:dyDescent="0.25">
      <c r="A88"/>
      <c r="F88"/>
      <c r="K88"/>
      <c r="P88"/>
      <c r="V88"/>
    </row>
    <row r="89" spans="1:46" x14ac:dyDescent="0.25">
      <c r="A89"/>
      <c r="F89"/>
      <c r="K89"/>
      <c r="P89"/>
      <c r="V89"/>
    </row>
    <row r="90" spans="1:46" x14ac:dyDescent="0.25">
      <c r="A90"/>
      <c r="F90"/>
      <c r="K90"/>
      <c r="P90"/>
      <c r="V90"/>
    </row>
    <row r="91" spans="1:46" x14ac:dyDescent="0.25">
      <c r="A91"/>
      <c r="F91"/>
      <c r="K91"/>
      <c r="P91"/>
      <c r="V91"/>
    </row>
    <row r="92" spans="1:46" x14ac:dyDescent="0.25">
      <c r="A92"/>
      <c r="F92"/>
      <c r="K92"/>
      <c r="P92"/>
      <c r="V92"/>
    </row>
    <row r="93" spans="1:46" x14ac:dyDescent="0.25">
      <c r="A93"/>
      <c r="F93"/>
      <c r="K93"/>
      <c r="P93"/>
      <c r="V93"/>
    </row>
    <row r="94" spans="1:46" x14ac:dyDescent="0.25">
      <c r="A94"/>
      <c r="F94"/>
      <c r="K94"/>
      <c r="P94"/>
      <c r="V94"/>
    </row>
    <row r="95" spans="1:46" x14ac:dyDescent="0.25">
      <c r="A95"/>
      <c r="F95"/>
      <c r="K95"/>
      <c r="P95"/>
      <c r="V95"/>
    </row>
    <row r="96" spans="1:46" x14ac:dyDescent="0.25">
      <c r="A96"/>
      <c r="F96"/>
      <c r="K96"/>
      <c r="P96"/>
      <c r="V96"/>
    </row>
    <row r="97" spans="1:22" x14ac:dyDescent="0.25">
      <c r="A97"/>
      <c r="F97"/>
      <c r="V97"/>
    </row>
    <row r="98" spans="1:22" x14ac:dyDescent="0.25">
      <c r="A98"/>
      <c r="F98"/>
      <c r="V98"/>
    </row>
    <row r="99" spans="1:22" x14ac:dyDescent="0.25">
      <c r="A99"/>
      <c r="F99"/>
      <c r="V99"/>
    </row>
    <row r="100" spans="1:22" x14ac:dyDescent="0.25">
      <c r="A100" s="255"/>
      <c r="B100" s="256"/>
      <c r="C100" s="256"/>
      <c r="D100" s="34"/>
      <c r="E100" s="171"/>
      <c r="F100" s="257"/>
      <c r="G100" s="168"/>
      <c r="H100" s="166"/>
      <c r="I100" s="202"/>
      <c r="J100" s="171"/>
      <c r="V100"/>
    </row>
    <row r="101" spans="1:22" x14ac:dyDescent="0.25">
      <c r="A101" s="255"/>
      <c r="B101" s="256"/>
      <c r="C101" s="256"/>
      <c r="D101" s="34"/>
      <c r="E101" s="171"/>
      <c r="F101" s="257"/>
      <c r="G101" s="168"/>
      <c r="H101" s="166"/>
      <c r="I101" s="202"/>
      <c r="J101" s="171"/>
      <c r="V101"/>
    </row>
    <row r="102" spans="1:22" x14ac:dyDescent="0.25">
      <c r="A102" s="255"/>
      <c r="B102" s="256"/>
      <c r="C102" s="256"/>
      <c r="D102" s="34"/>
      <c r="E102" s="171"/>
      <c r="F102" s="257"/>
      <c r="G102" s="168"/>
      <c r="H102" s="166"/>
      <c r="I102" s="202"/>
      <c r="J102" s="171"/>
    </row>
    <row r="103" spans="1:22" x14ac:dyDescent="0.25">
      <c r="A103" s="255"/>
      <c r="B103" s="256"/>
      <c r="C103" s="256"/>
      <c r="D103" s="258"/>
      <c r="E103" s="171"/>
      <c r="F103" s="257"/>
      <c r="G103" s="168"/>
      <c r="H103" s="166"/>
      <c r="I103" s="202"/>
      <c r="J103" s="171"/>
    </row>
    <row r="104" spans="1:22" x14ac:dyDescent="0.25">
      <c r="A104" s="259"/>
      <c r="B104" s="213"/>
      <c r="C104" s="256"/>
      <c r="D104" s="258"/>
      <c r="E104" s="171"/>
      <c r="F104" s="260"/>
      <c r="G104" s="168"/>
      <c r="H104" s="166"/>
      <c r="I104" s="202"/>
      <c r="J104" s="171"/>
    </row>
    <row r="105" spans="1:22" x14ac:dyDescent="0.25">
      <c r="A105" s="259"/>
      <c r="B105" s="213"/>
      <c r="C105" s="256"/>
      <c r="D105" s="171"/>
      <c r="E105" s="171"/>
      <c r="F105" s="260"/>
      <c r="G105" s="168"/>
      <c r="H105" s="166"/>
      <c r="I105" s="202"/>
      <c r="J105" s="171"/>
    </row>
    <row r="106" spans="1:22" x14ac:dyDescent="0.25">
      <c r="A106" s="259"/>
      <c r="B106" s="213"/>
      <c r="C106" s="256"/>
      <c r="D106" s="258"/>
      <c r="E106" s="171"/>
      <c r="F106" s="260"/>
      <c r="G106" s="168"/>
      <c r="H106" s="166"/>
      <c r="I106" s="202"/>
      <c r="J106" s="171"/>
    </row>
    <row r="107" spans="1:22" x14ac:dyDescent="0.25">
      <c r="A107" s="259"/>
      <c r="B107" s="213"/>
      <c r="C107" s="256"/>
      <c r="D107" s="261"/>
      <c r="E107" s="171"/>
      <c r="F107" s="260"/>
      <c r="G107" s="168"/>
      <c r="H107" s="166"/>
      <c r="I107" s="202"/>
      <c r="J107" s="171"/>
    </row>
    <row r="108" spans="1:22" x14ac:dyDescent="0.25">
      <c r="A108" s="259"/>
      <c r="B108" s="213"/>
      <c r="C108" s="256"/>
      <c r="D108" s="261"/>
      <c r="E108" s="171"/>
      <c r="F108" s="262"/>
      <c r="G108" s="168"/>
      <c r="H108" s="166"/>
      <c r="I108" s="202"/>
      <c r="J108" s="171"/>
    </row>
    <row r="109" spans="1:22" x14ac:dyDescent="0.25">
      <c r="A109" s="263"/>
      <c r="B109" s="213"/>
      <c r="C109" s="256"/>
      <c r="D109" s="261"/>
      <c r="E109" s="171"/>
      <c r="F109" s="262"/>
      <c r="G109" s="168"/>
      <c r="H109" s="166"/>
      <c r="I109" s="202"/>
      <c r="J109" s="171"/>
    </row>
    <row r="110" spans="1:22" x14ac:dyDescent="0.25">
      <c r="A110" s="263"/>
      <c r="B110" s="264"/>
      <c r="C110" s="256"/>
      <c r="D110" s="261"/>
      <c r="E110" s="171"/>
      <c r="F110" s="265"/>
      <c r="G110" s="168"/>
      <c r="H110" s="166"/>
      <c r="I110" s="202"/>
      <c r="J110" s="171"/>
    </row>
    <row r="111" spans="1:22" x14ac:dyDescent="0.25">
      <c r="A111" s="263"/>
      <c r="B111" s="264"/>
      <c r="C111" s="256"/>
      <c r="D111" s="261"/>
      <c r="E111" s="171"/>
      <c r="F111" s="265"/>
      <c r="G111" s="168"/>
      <c r="H111" s="166"/>
      <c r="I111" s="202"/>
      <c r="J111" s="171"/>
    </row>
    <row r="112" spans="1:22" x14ac:dyDescent="0.25">
      <c r="A112" s="266"/>
      <c r="B112" s="264"/>
      <c r="C112" s="256"/>
      <c r="D112" s="261"/>
      <c r="E112" s="171"/>
      <c r="F112" s="265"/>
      <c r="G112" s="168"/>
      <c r="H112" s="166"/>
      <c r="I112" s="202"/>
      <c r="J112" s="171"/>
    </row>
    <row r="113" spans="1:10" x14ac:dyDescent="0.25">
      <c r="A113" s="267"/>
      <c r="B113" s="264"/>
      <c r="C113" s="256"/>
      <c r="D113" s="261"/>
      <c r="E113" s="171"/>
      <c r="F113" s="265"/>
      <c r="G113" s="168"/>
      <c r="H113" s="166"/>
      <c r="I113" s="202"/>
      <c r="J113" s="171"/>
    </row>
    <row r="114" spans="1:10" x14ac:dyDescent="0.25">
      <c r="A114"/>
      <c r="F114"/>
    </row>
    <row r="115" spans="1:10" x14ac:dyDescent="0.25">
      <c r="A115"/>
      <c r="F115"/>
    </row>
    <row r="116" spans="1:10" x14ac:dyDescent="0.25">
      <c r="A116"/>
      <c r="F116"/>
    </row>
    <row r="117" spans="1:10" x14ac:dyDescent="0.25">
      <c r="A117"/>
      <c r="F117"/>
    </row>
    <row r="118" spans="1:10" x14ac:dyDescent="0.25">
      <c r="A118"/>
      <c r="F118"/>
    </row>
    <row r="119" spans="1:10" x14ac:dyDescent="0.25">
      <c r="A119"/>
      <c r="F119"/>
    </row>
    <row r="120" spans="1:10" x14ac:dyDescent="0.25">
      <c r="A120"/>
      <c r="F120"/>
    </row>
    <row r="121" spans="1:10" x14ac:dyDescent="0.25">
      <c r="A121"/>
      <c r="F121"/>
    </row>
    <row r="122" spans="1:10" x14ac:dyDescent="0.25">
      <c r="A122"/>
      <c r="F122"/>
    </row>
    <row r="123" spans="1:10" x14ac:dyDescent="0.25">
      <c r="A123"/>
      <c r="F123"/>
    </row>
    <row r="124" spans="1:10" x14ac:dyDescent="0.25">
      <c r="A124"/>
      <c r="F124"/>
    </row>
    <row r="125" spans="1:10" x14ac:dyDescent="0.25">
      <c r="A125"/>
      <c r="F125"/>
    </row>
    <row r="126" spans="1:10" x14ac:dyDescent="0.25">
      <c r="A126"/>
      <c r="F126"/>
    </row>
    <row r="127" spans="1:10" x14ac:dyDescent="0.25">
      <c r="A127"/>
      <c r="F127"/>
    </row>
    <row r="128" spans="1:10" x14ac:dyDescent="0.25">
      <c r="A128"/>
      <c r="F128"/>
    </row>
    <row r="129" spans="1:6" x14ac:dyDescent="0.25">
      <c r="A129"/>
      <c r="F129"/>
    </row>
    <row r="130" spans="1:6" x14ac:dyDescent="0.25">
      <c r="A130"/>
      <c r="F130"/>
    </row>
    <row r="131" spans="1:6" x14ac:dyDescent="0.25">
      <c r="A131"/>
      <c r="F131"/>
    </row>
    <row r="132" spans="1:6" x14ac:dyDescent="0.25">
      <c r="A132"/>
      <c r="F132"/>
    </row>
    <row r="133" spans="1:6" x14ac:dyDescent="0.25">
      <c r="A133"/>
      <c r="F133"/>
    </row>
    <row r="134" spans="1:6" x14ac:dyDescent="0.25">
      <c r="A134"/>
      <c r="F134"/>
    </row>
    <row r="135" spans="1:6" x14ac:dyDescent="0.25">
      <c r="A135"/>
      <c r="F135"/>
    </row>
    <row r="136" spans="1:6" x14ac:dyDescent="0.25">
      <c r="A136"/>
      <c r="F136"/>
    </row>
    <row r="137" spans="1:6" x14ac:dyDescent="0.25">
      <c r="A137"/>
      <c r="F137"/>
    </row>
    <row r="138" spans="1:6" x14ac:dyDescent="0.25">
      <c r="A138"/>
      <c r="F138"/>
    </row>
    <row r="139" spans="1:6" x14ac:dyDescent="0.25">
      <c r="A139"/>
      <c r="F139"/>
    </row>
    <row r="140" spans="1:6" x14ac:dyDescent="0.25">
      <c r="A140"/>
      <c r="F140"/>
    </row>
    <row r="141" spans="1:6" x14ac:dyDescent="0.25">
      <c r="A141"/>
      <c r="F141"/>
    </row>
    <row r="142" spans="1:6" x14ac:dyDescent="0.25">
      <c r="A142"/>
      <c r="F142"/>
    </row>
    <row r="143" spans="1:6" x14ac:dyDescent="0.25">
      <c r="A143"/>
      <c r="F143"/>
    </row>
    <row r="144" spans="1:6" x14ac:dyDescent="0.25">
      <c r="A144"/>
      <c r="F144"/>
    </row>
    <row r="145" spans="1:6" x14ac:dyDescent="0.25">
      <c r="A145"/>
      <c r="F145"/>
    </row>
    <row r="146" spans="1:6" x14ac:dyDescent="0.25">
      <c r="A146"/>
      <c r="F146"/>
    </row>
    <row r="147" spans="1:6" x14ac:dyDescent="0.25">
      <c r="A147"/>
      <c r="F147"/>
    </row>
    <row r="148" spans="1:6" x14ac:dyDescent="0.25">
      <c r="A148"/>
      <c r="F148"/>
    </row>
    <row r="149" spans="1:6" x14ac:dyDescent="0.25">
      <c r="A149"/>
      <c r="F149"/>
    </row>
    <row r="150" spans="1:6" x14ac:dyDescent="0.25">
      <c r="A150"/>
      <c r="F150"/>
    </row>
    <row r="151" spans="1:6" x14ac:dyDescent="0.25">
      <c r="A151"/>
      <c r="F151"/>
    </row>
    <row r="152" spans="1:6" x14ac:dyDescent="0.25">
      <c r="A152"/>
      <c r="F152"/>
    </row>
    <row r="153" spans="1:6" x14ac:dyDescent="0.25">
      <c r="A153"/>
      <c r="F153"/>
    </row>
    <row r="154" spans="1:6" x14ac:dyDescent="0.25">
      <c r="A154"/>
      <c r="F154"/>
    </row>
    <row r="155" spans="1:6" x14ac:dyDescent="0.25">
      <c r="A155"/>
      <c r="F155"/>
    </row>
    <row r="156" spans="1:6" x14ac:dyDescent="0.25">
      <c r="A156"/>
      <c r="F156"/>
    </row>
    <row r="157" spans="1:6" x14ac:dyDescent="0.25">
      <c r="A157"/>
      <c r="F157"/>
    </row>
    <row r="158" spans="1:6" x14ac:dyDescent="0.25">
      <c r="A158"/>
      <c r="F158"/>
    </row>
    <row r="159" spans="1:6" x14ac:dyDescent="0.25">
      <c r="A159"/>
      <c r="F159"/>
    </row>
    <row r="160" spans="1:6" x14ac:dyDescent="0.25">
      <c r="A160"/>
      <c r="F160"/>
    </row>
    <row r="161" spans="1:6" x14ac:dyDescent="0.25">
      <c r="A161"/>
      <c r="F161"/>
    </row>
    <row r="162" spans="1:6" x14ac:dyDescent="0.25">
      <c r="A162"/>
      <c r="F162"/>
    </row>
    <row r="163" spans="1:6" x14ac:dyDescent="0.25">
      <c r="A163"/>
      <c r="F163"/>
    </row>
    <row r="164" spans="1:6" x14ac:dyDescent="0.25">
      <c r="A164"/>
      <c r="F164"/>
    </row>
    <row r="165" spans="1:6" x14ac:dyDescent="0.25">
      <c r="A165"/>
      <c r="F165"/>
    </row>
    <row r="166" spans="1:6" x14ac:dyDescent="0.25">
      <c r="A166"/>
      <c r="F166"/>
    </row>
    <row r="167" spans="1:6" x14ac:dyDescent="0.25">
      <c r="A167"/>
      <c r="F167"/>
    </row>
    <row r="168" spans="1:6" x14ac:dyDescent="0.25">
      <c r="A168"/>
      <c r="F168"/>
    </row>
    <row r="169" spans="1:6" x14ac:dyDescent="0.25">
      <c r="A169"/>
      <c r="F169"/>
    </row>
    <row r="170" spans="1:6" x14ac:dyDescent="0.25">
      <c r="A170"/>
      <c r="F170"/>
    </row>
    <row r="171" spans="1:6" x14ac:dyDescent="0.25">
      <c r="A171"/>
      <c r="F171"/>
    </row>
    <row r="172" spans="1:6" x14ac:dyDescent="0.25">
      <c r="A172"/>
      <c r="F172"/>
    </row>
    <row r="173" spans="1:6" x14ac:dyDescent="0.25">
      <c r="A173"/>
      <c r="F173"/>
    </row>
    <row r="174" spans="1:6" x14ac:dyDescent="0.25">
      <c r="A174"/>
      <c r="F174"/>
    </row>
    <row r="175" spans="1:6" x14ac:dyDescent="0.25">
      <c r="A175"/>
      <c r="F175"/>
    </row>
    <row r="176" spans="1:6" x14ac:dyDescent="0.25">
      <c r="A176"/>
      <c r="F176"/>
    </row>
    <row r="177" spans="1:6" x14ac:dyDescent="0.25">
      <c r="A177"/>
      <c r="F177"/>
    </row>
    <row r="178" spans="1:6" x14ac:dyDescent="0.25">
      <c r="A178"/>
      <c r="F178"/>
    </row>
    <row r="179" spans="1:6" x14ac:dyDescent="0.25">
      <c r="A179"/>
      <c r="F179"/>
    </row>
    <row r="180" spans="1:6" x14ac:dyDescent="0.25">
      <c r="A180"/>
      <c r="F180"/>
    </row>
    <row r="181" spans="1:6" x14ac:dyDescent="0.25">
      <c r="A181"/>
      <c r="F181"/>
    </row>
    <row r="182" spans="1:6" x14ac:dyDescent="0.25">
      <c r="A182"/>
      <c r="F182"/>
    </row>
    <row r="183" spans="1:6" x14ac:dyDescent="0.25">
      <c r="A183"/>
      <c r="F183"/>
    </row>
    <row r="184" spans="1:6" x14ac:dyDescent="0.25">
      <c r="A184"/>
      <c r="F184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7">
    <dataValidation type="list" allowBlank="1" showInputMessage="1" showErrorMessage="1" sqref="Z4">
      <formula1>"N/A"</formula1>
    </dataValidation>
    <dataValidation type="list" allowBlank="1" showInputMessage="1" showErrorMessage="1" sqref="AA77:AB77 H100:H112 G100:G113">
      <formula1>"UNTESTED,FAIL,PASS"</formula1>
    </dataValidation>
    <dataValidation type="list" allowBlank="1" showInputMessage="1" showErrorMessage="1" sqref="X77 X74 X82">
      <formula1>"PCB-DX3-002"</formula1>
    </dataValidation>
    <dataValidation type="list" operator="equal" allowBlank="1" showInputMessage="1" showErrorMessage="1" sqref="AL89 AA4:AB4">
      <formula1>"UNTESTED,FAIL"</formula1>
    </dataValidation>
    <dataValidation type="list" allowBlank="1" showInputMessage="1" showErrorMessage="1" sqref="AA74:AA75 I3:I11">
      <formula1>"PCB-A-002,PCB-A-004,PCB-A-006"</formula1>
    </dataValidation>
    <dataValidation type="date" operator="greaterThan" allowBlank="1" showInputMessage="1" showErrorMessage="1" sqref="F133:F144 F100:F113">
      <formula1>36526</formula1>
    </dataValidation>
    <dataValidation type="list" allowBlank="1" showInputMessage="1" showErrorMessage="1" sqref="H11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527050</xdr:colOff>
                    <xdr:row>0</xdr:row>
                    <xdr:rowOff>107950</xdr:rowOff>
                  </from>
                  <to>
                    <xdr:col>12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450850</xdr:colOff>
                    <xdr:row>0</xdr:row>
                    <xdr:rowOff>76200</xdr:rowOff>
                  </from>
                  <to>
                    <xdr:col>22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31750</xdr:rowOff>
                  </from>
                  <to>
                    <xdr:col>35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692150</xdr:colOff>
                    <xdr:row>0</xdr:row>
                    <xdr:rowOff>76200</xdr:rowOff>
                  </from>
                  <to>
                    <xdr:col>33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08984375" customWidth="1"/>
    <col min="2" max="2" width="17.453125" customWidth="1"/>
    <col min="3" max="5" width="16.08984375" customWidth="1"/>
    <col min="6" max="6" width="10.08984375" customWidth="1"/>
    <col min="7" max="7" width="10.453125" customWidth="1"/>
    <col min="8" max="8" width="10.90625" customWidth="1"/>
    <col min="9" max="9" width="19.90625" bestFit="1" customWidth="1"/>
    <col min="10" max="10" width="17.08984375" customWidth="1"/>
    <col min="11" max="12" width="18.90625" customWidth="1"/>
    <col min="13" max="13" width="14.90625" customWidth="1"/>
    <col min="14" max="16" width="10.90625" customWidth="1"/>
    <col min="17" max="17" width="15.08984375" customWidth="1"/>
    <col min="18" max="19" width="11.90625" customWidth="1"/>
    <col min="20" max="20" width="13.90625" customWidth="1"/>
    <col min="21" max="21" width="10" customWidth="1"/>
    <col min="22" max="22" width="10" hidden="1" customWidth="1"/>
    <col min="23" max="24" width="10.08984375" customWidth="1"/>
    <col min="25" max="25" width="10.08984375" hidden="1" customWidth="1"/>
    <col min="26" max="26" width="16.453125" customWidth="1"/>
    <col min="27" max="27" width="13.08984375" customWidth="1"/>
    <col min="28" max="28" width="15.90625" customWidth="1"/>
    <col min="29" max="29" width="15" customWidth="1"/>
    <col min="30" max="30" width="15.08984375" customWidth="1"/>
    <col min="31" max="31" width="14.90625" customWidth="1"/>
    <col min="32" max="34" width="9.90625" customWidth="1"/>
    <col min="35" max="35" width="10.08984375" customWidth="1"/>
    <col min="36" max="37" width="8.90625" customWidth="1"/>
    <col min="38" max="38" width="8.90625" hidden="1" customWidth="1"/>
    <col min="39" max="39" width="11.453125" customWidth="1"/>
    <col min="40" max="41" width="10.453125" customWidth="1"/>
    <col min="42" max="42" width="10.90625" customWidth="1"/>
    <col min="43" max="43" width="10" customWidth="1"/>
    <col min="44" max="44" width="12.90625" customWidth="1"/>
    <col min="45" max="45" width="10" customWidth="1"/>
    <col min="46" max="46" width="9.453125" customWidth="1"/>
    <col min="48" max="48" width="10.08984375" customWidth="1"/>
    <col min="49" max="49" width="10" customWidth="1"/>
    <col min="51" max="51" width="14.54296875" customWidth="1"/>
    <col min="52" max="52" width="13.08984375" customWidth="1"/>
    <col min="53" max="53" width="11.90625" customWidth="1"/>
    <col min="54" max="54" width="16.90625" customWidth="1"/>
    <col min="55" max="55" width="13.08984375" customWidth="1"/>
    <col min="56" max="56" width="13.90625" customWidth="1"/>
    <col min="57" max="57" width="14.90625" customWidth="1"/>
  </cols>
  <sheetData>
    <row r="1" spans="1:57" ht="34.5" customHeight="1" x14ac:dyDescent="0.25">
      <c r="A1" s="306" t="s">
        <v>1610</v>
      </c>
      <c r="B1" s="307"/>
      <c r="C1" s="307"/>
      <c r="D1" s="307"/>
      <c r="E1" s="307"/>
      <c r="F1" s="307"/>
      <c r="G1" s="307"/>
      <c r="H1" s="308"/>
      <c r="I1" s="312" t="s">
        <v>1619</v>
      </c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3" t="s">
        <v>1632</v>
      </c>
      <c r="AK1" s="314"/>
      <c r="AL1" s="314"/>
      <c r="AM1" s="315"/>
      <c r="AN1" s="315"/>
      <c r="AO1" s="315"/>
      <c r="AP1" s="315"/>
      <c r="AQ1" s="316"/>
      <c r="AR1" s="320" t="s">
        <v>1634</v>
      </c>
      <c r="AS1" s="321"/>
      <c r="AT1" s="321"/>
      <c r="AU1" s="321"/>
      <c r="AV1" s="321"/>
      <c r="AW1" s="321"/>
      <c r="AX1" s="321"/>
      <c r="AY1" s="321"/>
      <c r="AZ1" s="321"/>
      <c r="BA1" s="321"/>
      <c r="BB1" s="322"/>
      <c r="BC1" s="296" t="s">
        <v>1612</v>
      </c>
      <c r="BD1" s="296"/>
      <c r="BE1" s="296"/>
    </row>
    <row r="2" spans="1:57" ht="25.5" customHeight="1" x14ac:dyDescent="0.25">
      <c r="A2" s="309"/>
      <c r="B2" s="310"/>
      <c r="C2" s="310"/>
      <c r="D2" s="310"/>
      <c r="E2" s="310"/>
      <c r="F2" s="310"/>
      <c r="G2" s="310"/>
      <c r="H2" s="311"/>
      <c r="I2" s="300" t="s">
        <v>1617</v>
      </c>
      <c r="J2" s="301"/>
      <c r="K2" s="301"/>
      <c r="L2" s="301"/>
      <c r="M2" s="301"/>
      <c r="N2" s="301"/>
      <c r="O2" s="302"/>
      <c r="P2" s="303" t="s">
        <v>1616</v>
      </c>
      <c r="Q2" s="304"/>
      <c r="R2" s="304"/>
      <c r="S2" s="304"/>
      <c r="T2" s="304"/>
      <c r="U2" s="304"/>
      <c r="V2" s="305"/>
      <c r="W2" s="297" t="s">
        <v>1635</v>
      </c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9"/>
      <c r="AJ2" s="317"/>
      <c r="AK2" s="318"/>
      <c r="AL2" s="318"/>
      <c r="AM2" s="318"/>
      <c r="AN2" s="318"/>
      <c r="AO2" s="318"/>
      <c r="AP2" s="318"/>
      <c r="AQ2" s="319"/>
      <c r="AR2" s="323"/>
      <c r="AS2" s="324"/>
      <c r="AT2" s="324"/>
      <c r="AU2" s="324"/>
      <c r="AV2" s="324"/>
      <c r="AW2" s="324"/>
      <c r="AX2" s="324"/>
      <c r="AY2" s="324"/>
      <c r="AZ2" s="324"/>
      <c r="BA2" s="324"/>
      <c r="BB2" s="325"/>
      <c r="BC2" s="296"/>
      <c r="BD2" s="296"/>
      <c r="BE2" s="296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8">
        <v>43568</v>
      </c>
      <c r="B5" s="205">
        <v>123456</v>
      </c>
      <c r="C5" s="205">
        <v>456</v>
      </c>
      <c r="D5" s="219">
        <f>IF(AND(COUNTIF('VB3'!$AM$4:$AM$4,C5)=1,VB3_PCB[[#This Row],[QAI0001]]="PASS",VB3_PCB[[#This Row],[TP0066]]="PASS"),1,0)</f>
        <v>0</v>
      </c>
      <c r="E5" s="220">
        <v>43790</v>
      </c>
      <c r="F5" s="206" t="s">
        <v>1641</v>
      </c>
      <c r="G5" s="206" t="s">
        <v>1641</v>
      </c>
      <c r="H5" s="204">
        <f t="shared" si="0"/>
        <v>456</v>
      </c>
      <c r="I5" s="209"/>
      <c r="J5" s="34"/>
      <c r="K5" s="210"/>
      <c r="L5" s="171"/>
      <c r="M5" s="66"/>
      <c r="N5" s="166"/>
      <c r="O5" s="171"/>
      <c r="P5" s="209"/>
      <c r="Q5" s="66"/>
      <c r="R5" s="210"/>
      <c r="S5" s="171"/>
      <c r="T5" s="34"/>
      <c r="U5" s="166"/>
      <c r="V5" s="171"/>
      <c r="W5" s="34"/>
      <c r="X5" s="211"/>
      <c r="Y5" s="212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9"/>
      <c r="J6" s="34"/>
      <c r="K6" s="210"/>
      <c r="L6" s="171"/>
      <c r="M6" s="66"/>
      <c r="N6" s="166"/>
      <c r="O6" s="171"/>
      <c r="P6" s="209"/>
      <c r="Q6" s="66"/>
      <c r="R6" s="210"/>
      <c r="S6" s="171"/>
      <c r="T6" s="34"/>
      <c r="U6" s="166"/>
      <c r="V6" s="171"/>
      <c r="W6" s="34"/>
      <c r="X6" s="211"/>
      <c r="Y6" s="212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8">
        <v>43568</v>
      </c>
      <c r="B7" s="205">
        <v>123456</v>
      </c>
      <c r="C7" s="205" t="s">
        <v>1708</v>
      </c>
      <c r="D7" s="219">
        <f>IF(AND(COUNTIF('VB3'!$AM$4:$AM$4,C7)=1,VB3_PCB[[#This Row],[QAI0001]]="PASS",VB3_PCB[[#This Row],[TP0066]]="PASS"),1,0)</f>
        <v>0</v>
      </c>
      <c r="E7" s="220">
        <v>43790</v>
      </c>
      <c r="F7" s="206" t="s">
        <v>1641</v>
      </c>
      <c r="G7" s="206" t="s">
        <v>1641</v>
      </c>
      <c r="H7" s="204" t="str">
        <f t="shared" si="0"/>
        <v>JBKOJ</v>
      </c>
      <c r="I7" s="209"/>
      <c r="J7" s="34"/>
      <c r="K7" s="210"/>
      <c r="L7" s="171"/>
      <c r="M7" s="66"/>
      <c r="N7" s="166"/>
      <c r="O7" s="171"/>
      <c r="P7" s="209"/>
      <c r="Q7" s="66"/>
      <c r="R7" s="210"/>
      <c r="S7" s="171"/>
      <c r="T7" s="34"/>
      <c r="U7" s="166"/>
      <c r="V7" s="171"/>
      <c r="W7" s="34"/>
      <c r="X7" s="211"/>
      <c r="Y7" s="212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8">
        <v>43568</v>
      </c>
      <c r="B8" s="205">
        <v>123456</v>
      </c>
      <c r="C8" s="205" t="s">
        <v>1709</v>
      </c>
      <c r="D8" s="219">
        <f>IF(AND(COUNTIF('VB3'!$AM$4:$AM$4,C8)=1,VB3_PCB[[#This Row],[QAI0001]]="PASS",VB3_PCB[[#This Row],[TP0066]]="PASS"),1,0)</f>
        <v>0</v>
      </c>
      <c r="E8" s="220">
        <v>43790</v>
      </c>
      <c r="F8" s="206" t="s">
        <v>1641</v>
      </c>
      <c r="G8" s="206" t="s">
        <v>1641</v>
      </c>
      <c r="H8" s="204" t="str">
        <f t="shared" si="0"/>
        <v>OT-0</v>
      </c>
      <c r="I8" s="209"/>
      <c r="J8" s="34"/>
      <c r="K8" s="210"/>
      <c r="L8" s="171"/>
      <c r="M8" s="66"/>
      <c r="N8" s="166"/>
      <c r="O8" s="171"/>
      <c r="P8" s="209"/>
      <c r="Q8" s="66"/>
      <c r="R8" s="210"/>
      <c r="S8" s="171"/>
      <c r="T8" s="34"/>
      <c r="U8" s="166"/>
      <c r="V8" s="171"/>
      <c r="W8" s="34"/>
      <c r="X8" s="211"/>
      <c r="Y8" s="212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8">
        <v>43568</v>
      </c>
      <c r="B9" s="205">
        <v>123456</v>
      </c>
      <c r="C9" s="205" t="s">
        <v>1710</v>
      </c>
      <c r="D9" s="219">
        <f>IF(AND(COUNTIF('VB3'!$AM$4:$AM$4,C9)=1,VB3_PCB[[#This Row],[QAI0001]]="PASS",VB3_PCB[[#This Row],[TP0066]]="PASS"),1,0)</f>
        <v>0</v>
      </c>
      <c r="E9" s="220">
        <v>43790</v>
      </c>
      <c r="F9" s="206" t="s">
        <v>1641</v>
      </c>
      <c r="G9" s="206" t="s">
        <v>1641</v>
      </c>
      <c r="H9" s="204" t="str">
        <f t="shared" si="0"/>
        <v>JVD</v>
      </c>
      <c r="I9" s="209"/>
      <c r="J9" s="34"/>
      <c r="K9" s="210"/>
      <c r="L9" s="171"/>
      <c r="M9" s="66"/>
      <c r="N9" s="166"/>
      <c r="O9" s="171"/>
      <c r="P9" s="209"/>
      <c r="Q9" s="66"/>
      <c r="R9" s="210"/>
      <c r="S9" s="171"/>
      <c r="T9" s="34"/>
      <c r="U9" s="166"/>
      <c r="V9" s="171"/>
      <c r="W9" s="34"/>
      <c r="X9" s="211"/>
      <c r="Y9" s="213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7"/>
      <c r="B10" s="203"/>
      <c r="C10" s="203"/>
      <c r="D10" s="202"/>
      <c r="E10" s="208"/>
      <c r="F10" s="166"/>
      <c r="G10" s="166"/>
      <c r="H10" s="171"/>
      <c r="I10" s="209"/>
      <c r="J10" s="34"/>
      <c r="K10" s="210"/>
      <c r="L10" s="171"/>
      <c r="M10" s="66"/>
      <c r="N10" s="166"/>
      <c r="O10" s="171"/>
      <c r="P10" s="209"/>
      <c r="Q10" s="66"/>
      <c r="R10" s="210"/>
      <c r="S10" s="171"/>
      <c r="T10" s="34"/>
      <c r="U10" s="166"/>
      <c r="V10" s="171"/>
      <c r="W10" s="34"/>
      <c r="X10" s="211"/>
      <c r="Y10" s="213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7"/>
      <c r="B11" s="203"/>
      <c r="C11" s="203"/>
      <c r="D11" s="202"/>
      <c r="E11" s="208"/>
      <c r="F11" s="166"/>
      <c r="G11" s="166"/>
      <c r="H11" s="171"/>
      <c r="I11" s="209"/>
      <c r="J11" s="34"/>
      <c r="K11" s="208"/>
      <c r="L11" s="171"/>
      <c r="M11" s="66"/>
      <c r="N11" s="166"/>
      <c r="O11" s="171"/>
      <c r="P11" s="209"/>
      <c r="Q11" s="66"/>
      <c r="R11" s="210"/>
      <c r="S11" s="171"/>
      <c r="T11" s="34"/>
      <c r="U11" s="166"/>
      <c r="V11" s="171"/>
      <c r="W11" s="34"/>
      <c r="X11" s="211"/>
      <c r="Y11" s="213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7"/>
      <c r="B12" s="203"/>
      <c r="C12" s="203"/>
      <c r="D12" s="202"/>
      <c r="E12" s="208"/>
      <c r="F12" s="166"/>
      <c r="G12" s="166"/>
      <c r="H12" s="171"/>
      <c r="I12" s="209"/>
      <c r="J12" s="34"/>
      <c r="K12" s="210"/>
      <c r="L12" s="171"/>
      <c r="M12" s="66"/>
      <c r="N12" s="166"/>
      <c r="O12" s="171"/>
      <c r="P12" s="209"/>
      <c r="Q12" s="66"/>
      <c r="R12" s="208"/>
      <c r="S12" s="171"/>
      <c r="T12" s="34"/>
      <c r="U12" s="166"/>
      <c r="V12" s="171"/>
      <c r="W12" s="34"/>
      <c r="X12" s="211"/>
      <c r="Y12" s="213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7"/>
      <c r="B13" s="203"/>
      <c r="C13" s="203"/>
      <c r="D13" s="202"/>
      <c r="E13" s="208"/>
      <c r="F13" s="166"/>
      <c r="G13" s="166"/>
      <c r="H13" s="171"/>
      <c r="I13" s="209"/>
      <c r="J13" s="34"/>
      <c r="K13" s="210"/>
      <c r="L13" s="171"/>
      <c r="M13" s="66"/>
      <c r="N13" s="166"/>
      <c r="O13" s="171"/>
      <c r="P13" s="209"/>
      <c r="Q13" s="66"/>
      <c r="R13" s="210"/>
      <c r="S13" s="171"/>
      <c r="T13" s="169"/>
      <c r="U13" s="166"/>
      <c r="V13" s="171"/>
      <c r="W13" s="34"/>
      <c r="X13" s="211"/>
      <c r="Y13" s="213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7"/>
      <c r="B14" s="203"/>
      <c r="C14" s="203"/>
      <c r="D14" s="202"/>
      <c r="E14" s="208"/>
      <c r="F14" s="166"/>
      <c r="G14" s="166"/>
      <c r="H14" s="171"/>
      <c r="I14" s="209"/>
      <c r="J14" s="34"/>
      <c r="K14" s="208"/>
      <c r="L14" s="171"/>
      <c r="M14" s="169"/>
      <c r="N14" s="166"/>
      <c r="O14" s="171"/>
      <c r="P14" s="209"/>
      <c r="Q14" s="66"/>
      <c r="R14" s="210"/>
      <c r="S14" s="171"/>
      <c r="T14" s="34"/>
      <c r="U14" s="166"/>
      <c r="V14" s="171"/>
      <c r="W14" s="34"/>
      <c r="X14" s="211"/>
      <c r="Y14" s="213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7"/>
      <c r="B15" s="203"/>
      <c r="C15" s="203"/>
      <c r="D15" s="202"/>
      <c r="E15" s="208"/>
      <c r="F15" s="166"/>
      <c r="G15" s="166"/>
      <c r="H15" s="171"/>
      <c r="I15" s="209"/>
      <c r="J15" s="34"/>
      <c r="K15" s="210"/>
      <c r="L15" s="171"/>
      <c r="M15" s="66"/>
      <c r="N15" s="166"/>
      <c r="O15" s="171"/>
      <c r="P15" s="209"/>
      <c r="Q15" s="66"/>
      <c r="R15" s="210"/>
      <c r="S15" s="171"/>
      <c r="T15" s="34"/>
      <c r="U15" s="166"/>
      <c r="V15" s="171"/>
      <c r="W15" s="34"/>
      <c r="X15" s="211"/>
      <c r="Y15" s="213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7"/>
      <c r="B16" s="203"/>
      <c r="C16" s="203"/>
      <c r="D16" s="202"/>
      <c r="E16" s="208"/>
      <c r="F16" s="166"/>
      <c r="G16" s="166"/>
      <c r="H16" s="171"/>
      <c r="I16" s="209"/>
      <c r="J16" s="34"/>
      <c r="K16" s="210"/>
      <c r="L16" s="171"/>
      <c r="M16" s="66"/>
      <c r="N16" s="166"/>
      <c r="O16" s="171"/>
      <c r="P16" s="209"/>
      <c r="Q16" s="66"/>
      <c r="R16" s="210"/>
      <c r="S16" s="171"/>
      <c r="T16" s="34"/>
      <c r="U16" s="166"/>
      <c r="V16" s="171"/>
      <c r="W16" s="34"/>
      <c r="X16" s="211"/>
      <c r="Y16" s="213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7"/>
      <c r="B17" s="203"/>
      <c r="C17" s="203"/>
      <c r="D17" s="202"/>
      <c r="E17" s="208"/>
      <c r="F17" s="166"/>
      <c r="G17" s="166"/>
      <c r="H17" s="171"/>
      <c r="I17" s="209"/>
      <c r="J17" s="34"/>
      <c r="K17" s="210"/>
      <c r="L17" s="171"/>
      <c r="M17" s="66"/>
      <c r="N17" s="166"/>
      <c r="O17" s="171"/>
      <c r="P17" s="209"/>
      <c r="Q17" s="66"/>
      <c r="R17" s="210"/>
      <c r="S17" s="171"/>
      <c r="T17" s="34"/>
      <c r="U17" s="166"/>
      <c r="V17" s="171"/>
      <c r="W17" s="34"/>
      <c r="X17" s="211"/>
      <c r="Y17" s="213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7"/>
      <c r="B18" s="203"/>
      <c r="C18" s="214"/>
      <c r="D18" s="202"/>
      <c r="E18" s="208"/>
      <c r="F18" s="166"/>
      <c r="G18" s="170"/>
      <c r="H18" s="171"/>
      <c r="I18" s="209"/>
      <c r="J18" s="34"/>
      <c r="K18" s="210"/>
      <c r="L18" s="171"/>
      <c r="M18" s="169"/>
      <c r="N18" s="166"/>
      <c r="O18" s="171"/>
      <c r="P18" s="209"/>
      <c r="Q18" s="66"/>
      <c r="R18" s="210"/>
      <c r="S18" s="171"/>
      <c r="T18" s="34"/>
      <c r="U18" s="166"/>
      <c r="V18" s="171"/>
      <c r="W18" s="34"/>
      <c r="X18" s="211"/>
      <c r="Y18" s="213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7"/>
      <c r="B19" s="203"/>
      <c r="C19" s="214"/>
      <c r="D19" s="202"/>
      <c r="E19" s="208"/>
      <c r="F19" s="170"/>
      <c r="G19" s="170"/>
      <c r="H19" s="171"/>
      <c r="I19" s="209"/>
      <c r="J19" s="34"/>
      <c r="K19" s="210"/>
      <c r="L19" s="171"/>
      <c r="M19" s="66"/>
      <c r="N19" s="166"/>
      <c r="O19" s="171"/>
      <c r="P19" s="209"/>
      <c r="Q19" s="66"/>
      <c r="R19" s="210"/>
      <c r="S19" s="171"/>
      <c r="T19" s="34"/>
      <c r="U19" s="166"/>
      <c r="V19" s="171"/>
      <c r="W19" s="34"/>
      <c r="X19" s="211"/>
      <c r="Y19" s="213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7"/>
      <c r="B20" s="203"/>
      <c r="C20" s="203"/>
      <c r="D20" s="202"/>
      <c r="E20" s="208"/>
      <c r="F20" s="34"/>
      <c r="G20" s="166"/>
      <c r="H20" s="171"/>
      <c r="I20" s="209"/>
      <c r="J20" s="34"/>
      <c r="K20" s="210"/>
      <c r="L20" s="171"/>
      <c r="M20" s="66"/>
      <c r="N20" s="166"/>
      <c r="O20" s="171"/>
      <c r="P20" s="209"/>
      <c r="Q20" s="66"/>
      <c r="R20" s="210"/>
      <c r="S20" s="171"/>
      <c r="T20" s="34"/>
      <c r="U20" s="166"/>
      <c r="V20" s="171"/>
      <c r="W20" s="34"/>
      <c r="X20" s="211"/>
      <c r="Y20" s="213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7"/>
      <c r="B21" s="203"/>
      <c r="C21" s="203"/>
      <c r="D21" s="202"/>
      <c r="E21" s="208"/>
      <c r="F21" s="166"/>
      <c r="G21" s="166"/>
      <c r="H21" s="171"/>
      <c r="I21" s="209"/>
      <c r="J21" s="34"/>
      <c r="K21" s="210"/>
      <c r="L21" s="171"/>
      <c r="M21" s="66"/>
      <c r="N21" s="166"/>
      <c r="O21" s="171"/>
      <c r="P21" s="209"/>
      <c r="Q21" s="66"/>
      <c r="R21" s="210"/>
      <c r="S21" s="171"/>
      <c r="T21" s="34"/>
      <c r="U21" s="166"/>
      <c r="V21" s="171"/>
      <c r="W21" s="34"/>
      <c r="X21" s="211"/>
      <c r="Y21" s="213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7"/>
      <c r="B22" s="203"/>
      <c r="C22" s="203"/>
      <c r="D22" s="202"/>
      <c r="E22" s="208"/>
      <c r="F22" s="34"/>
      <c r="G22" s="166"/>
      <c r="H22" s="171"/>
      <c r="I22" s="209"/>
      <c r="J22" s="34"/>
      <c r="K22" s="210"/>
      <c r="L22" s="171"/>
      <c r="M22" s="66"/>
      <c r="N22" s="166"/>
      <c r="O22" s="171"/>
      <c r="P22" s="209"/>
      <c r="Q22" s="66"/>
      <c r="R22" s="210"/>
      <c r="S22" s="171"/>
      <c r="T22" s="34"/>
      <c r="U22" s="166"/>
      <c r="V22" s="171"/>
      <c r="W22" s="34"/>
      <c r="X22" s="211"/>
      <c r="Y22" s="213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7"/>
      <c r="B23" s="203"/>
      <c r="C23" s="203"/>
      <c r="D23" s="202"/>
      <c r="E23" s="208"/>
      <c r="F23" s="34"/>
      <c r="G23" s="166"/>
      <c r="H23" s="171"/>
      <c r="I23" s="209"/>
      <c r="J23" s="34"/>
      <c r="K23" s="210"/>
      <c r="L23" s="171"/>
      <c r="M23" s="66"/>
      <c r="N23" s="166"/>
      <c r="O23" s="171"/>
      <c r="P23" s="209"/>
      <c r="Q23" s="66"/>
      <c r="R23" s="210"/>
      <c r="S23" s="171"/>
      <c r="T23" s="34"/>
      <c r="U23" s="166"/>
      <c r="V23" s="171"/>
      <c r="W23" s="34"/>
      <c r="X23" s="211"/>
      <c r="Y23" s="213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7"/>
      <c r="B24" s="203"/>
      <c r="C24" s="203"/>
      <c r="D24" s="202"/>
      <c r="E24" s="208"/>
      <c r="F24" s="166"/>
      <c r="G24" s="166"/>
      <c r="H24" s="171"/>
      <c r="I24" s="209"/>
      <c r="J24" s="34"/>
      <c r="K24" s="210"/>
      <c r="L24" s="171"/>
      <c r="M24" s="66"/>
      <c r="N24" s="166"/>
      <c r="O24" s="171"/>
      <c r="P24" s="209"/>
      <c r="Q24" s="66"/>
      <c r="R24" s="210"/>
      <c r="S24" s="171"/>
      <c r="T24" s="34"/>
      <c r="U24" s="166"/>
      <c r="V24" s="171"/>
      <c r="W24" s="34"/>
      <c r="X24" s="211"/>
      <c r="Y24" s="213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7"/>
      <c r="B25" s="203"/>
      <c r="C25" s="203"/>
      <c r="D25" s="202"/>
      <c r="E25" s="208"/>
      <c r="F25" s="166"/>
      <c r="G25" s="166"/>
      <c r="H25" s="171"/>
      <c r="I25" s="209"/>
      <c r="J25" s="34"/>
      <c r="K25" s="210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11"/>
      <c r="Y25" s="213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7"/>
      <c r="B26" s="203"/>
      <c r="C26" s="203"/>
      <c r="D26" s="202"/>
      <c r="E26" s="208"/>
      <c r="F26" s="166"/>
      <c r="G26" s="166"/>
      <c r="H26" s="171"/>
      <c r="I26" s="209"/>
      <c r="J26" s="34"/>
      <c r="K26" s="210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11"/>
      <c r="Y26" s="213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7"/>
      <c r="B27" s="203"/>
      <c r="C27" s="203"/>
      <c r="D27" s="202"/>
      <c r="E27" s="208"/>
      <c r="F27" s="166"/>
      <c r="G27" s="166"/>
      <c r="H27" s="171"/>
      <c r="I27" s="209"/>
      <c r="J27" s="34"/>
      <c r="K27" s="210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11"/>
      <c r="Y27" s="213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7"/>
      <c r="B28" s="203"/>
      <c r="C28" s="203"/>
      <c r="D28" s="202"/>
      <c r="E28" s="208"/>
      <c r="F28" s="166"/>
      <c r="G28" s="166"/>
      <c r="H28" s="171"/>
      <c r="I28" s="209"/>
      <c r="J28" s="34"/>
      <c r="K28" s="210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11"/>
      <c r="Y28" s="213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7"/>
      <c r="B29" s="203"/>
      <c r="C29" s="203"/>
      <c r="D29" s="202"/>
      <c r="E29" s="208"/>
      <c r="F29" s="166"/>
      <c r="G29" s="166"/>
      <c r="H29" s="171"/>
      <c r="I29" s="209"/>
      <c r="J29" s="34"/>
      <c r="K29" s="210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11"/>
      <c r="Y29" s="211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15"/>
      <c r="B30" s="203"/>
      <c r="C30" s="203"/>
      <c r="D30" s="202"/>
      <c r="E30" s="208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11"/>
      <c r="Y30" s="211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15"/>
      <c r="B31" s="203"/>
      <c r="C31" s="214"/>
      <c r="D31" s="202"/>
      <c r="E31" s="208"/>
      <c r="F31" s="203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11"/>
      <c r="Y31" s="211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15"/>
      <c r="B32" s="203"/>
      <c r="C32" s="203"/>
      <c r="D32" s="202"/>
      <c r="E32" s="208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11"/>
      <c r="Y32" s="211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15"/>
      <c r="B33" s="203"/>
      <c r="C33" s="203"/>
      <c r="D33" s="202"/>
      <c r="E33" s="208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11"/>
      <c r="Y33" s="211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15"/>
      <c r="B34" s="203"/>
      <c r="C34" s="203"/>
      <c r="D34" s="202"/>
      <c r="E34" s="208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11"/>
      <c r="Y34" s="211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15"/>
      <c r="B35" s="203"/>
      <c r="C35" s="203"/>
      <c r="D35" s="202"/>
      <c r="E35" s="208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11"/>
      <c r="Y35" s="211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15"/>
      <c r="B36" s="203"/>
      <c r="C36" s="203"/>
      <c r="D36" s="202"/>
      <c r="E36" s="208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11"/>
      <c r="Y36" s="211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15"/>
      <c r="B37" s="203"/>
      <c r="C37" s="203"/>
      <c r="D37" s="202"/>
      <c r="E37" s="208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11"/>
      <c r="Y37" s="211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15"/>
      <c r="B38" s="203"/>
      <c r="C38" s="203"/>
      <c r="D38" s="202"/>
      <c r="E38" s="208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11"/>
      <c r="Y38" s="211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15"/>
      <c r="B39" s="203"/>
      <c r="C39" s="214"/>
      <c r="D39" s="202"/>
      <c r="E39" s="208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11"/>
      <c r="Y39" s="211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7"/>
      <c r="B40" s="203"/>
      <c r="C40" s="203"/>
      <c r="D40" s="202"/>
      <c r="E40" s="208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11"/>
      <c r="Y40" s="211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7"/>
      <c r="B41" s="203"/>
      <c r="C41" s="203"/>
      <c r="D41" s="202"/>
      <c r="E41" s="208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11"/>
      <c r="Y41" s="211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7"/>
      <c r="B42" s="203"/>
      <c r="C42" s="214"/>
      <c r="D42" s="202"/>
      <c r="E42" s="208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11"/>
      <c r="Y42" s="211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7"/>
      <c r="B43" s="203"/>
      <c r="C43" s="214"/>
      <c r="D43" s="202"/>
      <c r="E43" s="208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11"/>
      <c r="Y43" s="211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7"/>
      <c r="B44" s="203"/>
      <c r="C44" s="214"/>
      <c r="D44" s="202"/>
      <c r="E44" s="208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11"/>
      <c r="Y44" s="211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15"/>
      <c r="B45" s="203"/>
      <c r="C45" s="203"/>
      <c r="D45" s="202"/>
      <c r="E45" s="208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11"/>
      <c r="Y45" s="211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7"/>
      <c r="B46" s="203"/>
      <c r="C46" s="203"/>
      <c r="D46" s="202"/>
      <c r="E46" s="208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11"/>
      <c r="Y46" s="211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7"/>
      <c r="B47" s="203"/>
      <c r="C47" s="203"/>
      <c r="D47" s="202"/>
      <c r="E47" s="208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11"/>
      <c r="Y47" s="211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7"/>
      <c r="B48" s="203"/>
      <c r="C48" s="203"/>
      <c r="D48" s="202"/>
      <c r="E48" s="208"/>
      <c r="F48" s="166"/>
      <c r="G48" s="166"/>
      <c r="H48" s="171"/>
      <c r="I48" s="217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11"/>
      <c r="Y48" s="211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6"/>
      <c r="B49" s="203"/>
      <c r="C49" s="203"/>
      <c r="D49" s="202"/>
      <c r="E49" s="208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11"/>
      <c r="Y49" s="211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6"/>
      <c r="B50" s="203"/>
      <c r="C50" s="203"/>
      <c r="D50" s="202"/>
      <c r="E50" s="208"/>
      <c r="F50" s="166"/>
      <c r="G50" s="166"/>
      <c r="H50" s="171"/>
      <c r="X50" s="152"/>
      <c r="Y50" s="152"/>
    </row>
    <row r="51" spans="1:57" x14ac:dyDescent="0.25">
      <c r="A51" s="216"/>
      <c r="B51" s="203"/>
      <c r="C51" s="203"/>
      <c r="D51" s="202"/>
      <c r="E51" s="208"/>
      <c r="F51" s="166"/>
      <c r="G51" s="166"/>
      <c r="H51" s="171"/>
      <c r="X51" s="152"/>
      <c r="Y51" s="152"/>
    </row>
    <row r="52" spans="1:57" x14ac:dyDescent="0.25">
      <c r="A52" s="216"/>
      <c r="B52" s="203"/>
      <c r="C52" s="203"/>
      <c r="D52" s="202"/>
      <c r="E52" s="208"/>
      <c r="F52" s="166"/>
      <c r="G52" s="166"/>
      <c r="H52" s="171"/>
      <c r="X52" s="152"/>
      <c r="Y52" s="152"/>
    </row>
    <row r="53" spans="1:57" x14ac:dyDescent="0.25">
      <c r="A53" s="216"/>
      <c r="B53" s="203"/>
      <c r="C53" s="203"/>
      <c r="D53" s="202"/>
      <c r="E53" s="208"/>
      <c r="F53" s="166"/>
      <c r="G53" s="166"/>
      <c r="H53" s="171"/>
      <c r="X53" s="152"/>
      <c r="Y53" s="152"/>
    </row>
    <row r="54" spans="1:57" x14ac:dyDescent="0.25">
      <c r="A54" s="216"/>
      <c r="B54" s="203"/>
      <c r="C54" s="203"/>
      <c r="D54" s="202"/>
      <c r="E54" s="208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196850</xdr:colOff>
                    <xdr:row>0</xdr:row>
                    <xdr:rowOff>234950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387350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349250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82550</xdr:rowOff>
                  </from>
                  <to>
                    <xdr:col>23</xdr:col>
                    <xdr:colOff>679450</xdr:colOff>
                    <xdr:row>0</xdr:row>
                    <xdr:rowOff>349250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387350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234950</xdr:rowOff>
                  </from>
                  <to>
                    <xdr:col>45</xdr:col>
                    <xdr:colOff>273050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82"/>
  <sheetViews>
    <sheetView tabSelected="1" zoomScaleNormal="100" workbookViewId="0">
      <selection activeCell="AA27" sqref="AA27"/>
    </sheetView>
  </sheetViews>
  <sheetFormatPr defaultRowHeight="12.5" x14ac:dyDescent="0.25"/>
  <cols>
    <col min="1" max="1" width="15.90625" customWidth="1"/>
    <col min="2" max="2" width="23" customWidth="1"/>
    <col min="3" max="3" width="20" customWidth="1"/>
    <col min="4" max="4" width="10.90625" customWidth="1"/>
    <col min="5" max="5" width="18.90625" customWidth="1"/>
    <col min="6" max="7" width="10.453125" bestFit="1" customWidth="1"/>
    <col min="8" max="8" width="15.08984375" customWidth="1"/>
    <col min="9" max="9" width="15.54296875" hidden="1" customWidth="1"/>
    <col min="10" max="10" width="24" hidden="1" customWidth="1"/>
    <col min="11" max="11" width="15.08984375" hidden="1" customWidth="1"/>
    <col min="12" max="12" width="8.90625" hidden="1" customWidth="1"/>
    <col min="13" max="13" width="10.90625" hidden="1" customWidth="1"/>
    <col min="14" max="14" width="24.90625" hidden="1" customWidth="1"/>
    <col min="15" max="15" width="10" hidden="1" customWidth="1"/>
    <col min="16" max="16" width="15.08984375" hidden="1" customWidth="1"/>
    <col min="17" max="21" width="14.90625" hidden="1" customWidth="1"/>
    <col min="23" max="23" width="12.54296875" customWidth="1"/>
    <col min="24" max="24" width="10" customWidth="1"/>
    <col min="25" max="25" width="15.453125" customWidth="1"/>
    <col min="26" max="26" width="11.08984375" customWidth="1"/>
    <col min="27" max="27" width="11.54296875" customWidth="1"/>
    <col min="28" max="28" width="10.90625" customWidth="1"/>
    <col min="29" max="34" width="15.08984375" customWidth="1"/>
    <col min="35" max="35" width="12.54296875" customWidth="1"/>
    <col min="36" max="36" width="11.54296875" customWidth="1"/>
    <col min="37" max="37" width="12.54296875" customWidth="1"/>
    <col min="38" max="38" width="11.08984375" customWidth="1"/>
    <col min="39" max="39" width="11.54296875" customWidth="1"/>
    <col min="40" max="40" width="11.90625" customWidth="1"/>
    <col min="41" max="41" width="13.08984375" customWidth="1"/>
    <col min="42" max="42" width="15.90625" customWidth="1"/>
    <col min="43" max="43" width="25.08984375" customWidth="1"/>
    <col min="44" max="45" width="20.54296875" customWidth="1"/>
    <col min="46" max="46" width="24.08984375" customWidth="1"/>
  </cols>
  <sheetData>
    <row r="1" spans="1:46" x14ac:dyDescent="0.25">
      <c r="A1" s="326" t="s">
        <v>1685</v>
      </c>
      <c r="B1" s="326"/>
      <c r="C1" s="326"/>
      <c r="D1" s="326"/>
      <c r="E1" s="326"/>
      <c r="F1" s="326"/>
      <c r="G1" s="326"/>
      <c r="H1" s="326"/>
      <c r="I1" s="294" t="s">
        <v>1696</v>
      </c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3" t="s">
        <v>1715</v>
      </c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327" t="s">
        <v>1702</v>
      </c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</row>
    <row r="2" spans="1:46" x14ac:dyDescent="0.25">
      <c r="A2" s="326"/>
      <c r="B2" s="326"/>
      <c r="C2" s="326"/>
      <c r="D2" s="326"/>
      <c r="E2" s="326"/>
      <c r="F2" s="326"/>
      <c r="G2" s="326"/>
      <c r="H2" s="326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327"/>
      <c r="AJ2" s="327"/>
      <c r="AK2" s="327"/>
      <c r="AL2" s="327"/>
      <c r="AM2" s="327"/>
      <c r="AN2" s="327"/>
      <c r="AO2" s="327"/>
      <c r="AP2" s="327"/>
      <c r="AQ2" s="327"/>
      <c r="AR2" s="327"/>
      <c r="AS2" s="327"/>
      <c r="AT2" s="327"/>
    </row>
    <row r="3" spans="1:46" ht="33" customHeight="1" x14ac:dyDescent="0.25">
      <c r="A3" s="196" t="s">
        <v>692</v>
      </c>
      <c r="B3" s="196" t="s">
        <v>1714</v>
      </c>
      <c r="C3" s="196" t="s">
        <v>2</v>
      </c>
      <c r="D3" s="196" t="s">
        <v>1637</v>
      </c>
      <c r="E3" s="196" t="s">
        <v>1613</v>
      </c>
      <c r="F3" s="197" t="s">
        <v>1686</v>
      </c>
      <c r="G3" s="197" t="s">
        <v>1687</v>
      </c>
      <c r="H3" s="197" t="s">
        <v>1645</v>
      </c>
      <c r="I3" s="163" t="s">
        <v>692</v>
      </c>
      <c r="J3" s="198" t="s">
        <v>693</v>
      </c>
      <c r="K3" s="163" t="s">
        <v>1688</v>
      </c>
      <c r="L3" s="163" t="s">
        <v>1659</v>
      </c>
      <c r="M3" s="163" t="s">
        <v>1637</v>
      </c>
      <c r="N3" s="198" t="s">
        <v>1613</v>
      </c>
      <c r="O3" s="199" t="s">
        <v>1689</v>
      </c>
      <c r="P3" s="199" t="s">
        <v>1690</v>
      </c>
      <c r="Q3" s="199" t="s">
        <v>1691</v>
      </c>
      <c r="R3" s="199" t="s">
        <v>1692</v>
      </c>
      <c r="S3" s="199" t="s">
        <v>1693</v>
      </c>
      <c r="T3" s="199" t="s">
        <v>1694</v>
      </c>
      <c r="U3" s="199" t="s">
        <v>1695</v>
      </c>
      <c r="V3" s="200" t="s">
        <v>1664</v>
      </c>
      <c r="W3" s="201" t="s">
        <v>1703</v>
      </c>
      <c r="X3" s="200" t="s">
        <v>1659</v>
      </c>
      <c r="Y3" s="200" t="s">
        <v>1697</v>
      </c>
      <c r="Z3" s="200" t="s">
        <v>1698</v>
      </c>
      <c r="AA3" s="201" t="s">
        <v>1689</v>
      </c>
      <c r="AB3" s="201" t="s">
        <v>1637</v>
      </c>
      <c r="AC3" s="232" t="s">
        <v>1705</v>
      </c>
      <c r="AD3" s="232" t="s">
        <v>1691</v>
      </c>
      <c r="AE3" s="232" t="s">
        <v>1692</v>
      </c>
      <c r="AF3" s="232" t="s">
        <v>1693</v>
      </c>
      <c r="AG3" s="232" t="s">
        <v>1694</v>
      </c>
      <c r="AH3" s="232" t="s">
        <v>1695</v>
      </c>
      <c r="AI3" s="245" t="s">
        <v>1713</v>
      </c>
      <c r="AJ3" s="245" t="s">
        <v>1704</v>
      </c>
      <c r="AK3" s="246" t="s">
        <v>1659</v>
      </c>
      <c r="AL3" s="246" t="s">
        <v>1699</v>
      </c>
      <c r="AM3" s="246" t="s">
        <v>1700</v>
      </c>
      <c r="AN3" s="246" t="s">
        <v>1701</v>
      </c>
      <c r="AO3" s="246" t="s">
        <v>1622</v>
      </c>
      <c r="AP3" s="247" t="s">
        <v>5</v>
      </c>
      <c r="AQ3" s="247" t="s">
        <v>1615</v>
      </c>
      <c r="AR3" s="247" t="s">
        <v>194</v>
      </c>
      <c r="AS3" s="247" t="s">
        <v>195</v>
      </c>
      <c r="AT3" s="247" t="s">
        <v>6</v>
      </c>
    </row>
    <row r="4" spans="1:46" x14ac:dyDescent="0.25">
      <c r="A4" s="180"/>
      <c r="B4" s="180"/>
      <c r="C4" s="180"/>
      <c r="D4" s="180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3" t="str">
        <f>IF(AND(VAP100B[[#This Row],[QAI0010]]="PASS",VAP100B[[#This Row],[TP0041]]="PASS",VAP100B[[#This Row],[Assigned]]=0),VAP100B[[#This Row],[Sub-contractor Serial Number]],"")</f>
        <v/>
      </c>
      <c r="I4" s="142"/>
      <c r="J4" s="142"/>
      <c r="V4" s="180"/>
      <c r="W4" s="180"/>
      <c r="X4" s="180"/>
      <c r="Y4" s="183"/>
      <c r="Z4" s="183"/>
      <c r="AA4" s="183"/>
      <c r="AB4" s="180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42">
        <v>0</v>
      </c>
      <c r="AJ4" s="242"/>
      <c r="AK4" s="243"/>
      <c r="AL4" s="243"/>
      <c r="AM4" s="243"/>
      <c r="AN4" s="243"/>
      <c r="AO4" s="243"/>
      <c r="AP4" s="272"/>
      <c r="AQ4" s="244"/>
      <c r="AR4" s="244"/>
      <c r="AS4" s="244"/>
      <c r="AT4" s="244"/>
    </row>
    <row r="35" spans="29:34" x14ac:dyDescent="0.25">
      <c r="AC35" s="226"/>
      <c r="AD35" s="226"/>
      <c r="AE35" s="226"/>
      <c r="AF35" s="226"/>
      <c r="AG35" s="226"/>
      <c r="AH35" s="226"/>
    </row>
    <row r="36" spans="29:34" x14ac:dyDescent="0.25">
      <c r="AC36" s="226"/>
      <c r="AD36" s="226"/>
      <c r="AE36" s="226"/>
      <c r="AF36" s="226"/>
      <c r="AG36" s="226"/>
      <c r="AH36" s="226"/>
    </row>
    <row r="57" spans="22:25" x14ac:dyDescent="0.25">
      <c r="V57" s="34"/>
      <c r="W57" s="34"/>
      <c r="X57" s="34"/>
      <c r="Y57" s="144"/>
    </row>
    <row r="58" spans="22:25" x14ac:dyDescent="0.25">
      <c r="V58" s="34"/>
      <c r="W58" s="34"/>
      <c r="X58" s="34"/>
      <c r="Y58" s="144"/>
    </row>
    <row r="59" spans="22:25" x14ac:dyDescent="0.25">
      <c r="V59" s="34"/>
      <c r="W59" s="34"/>
      <c r="X59" s="34"/>
      <c r="Y59" s="144"/>
    </row>
    <row r="60" spans="22:25" x14ac:dyDescent="0.25">
      <c r="V60" s="34"/>
      <c r="W60" s="34"/>
      <c r="X60" s="34"/>
    </row>
    <row r="61" spans="22:25" x14ac:dyDescent="0.25">
      <c r="V61" s="34"/>
      <c r="W61" s="34"/>
      <c r="X61" s="34"/>
    </row>
    <row r="78" spans="1:8" x14ac:dyDescent="0.25">
      <c r="A78" s="164"/>
      <c r="B78" s="164"/>
      <c r="C78" s="34"/>
      <c r="D78" s="34"/>
      <c r="E78" s="166"/>
      <c r="F78" s="166"/>
      <c r="G78" s="166"/>
      <c r="H78" s="171"/>
    </row>
    <row r="79" spans="1:8" x14ac:dyDescent="0.25">
      <c r="A79" s="34"/>
      <c r="B79" s="34"/>
      <c r="C79" s="34"/>
      <c r="D79" s="34"/>
      <c r="E79" s="34"/>
      <c r="F79" s="34"/>
      <c r="G79" s="34"/>
      <c r="H79" s="34"/>
    </row>
    <row r="80" spans="1:8" x14ac:dyDescent="0.25">
      <c r="A80" s="34"/>
      <c r="B80" s="34"/>
      <c r="C80" s="34"/>
      <c r="D80" s="34"/>
      <c r="E80" s="34"/>
      <c r="F80" s="34"/>
      <c r="G80" s="34"/>
      <c r="H80" s="34"/>
    </row>
    <row r="81" spans="1:8" x14ac:dyDescent="0.25">
      <c r="A81" s="34"/>
      <c r="B81" s="34"/>
      <c r="C81" s="34"/>
      <c r="D81" s="34"/>
      <c r="E81" s="34"/>
      <c r="F81" s="34"/>
      <c r="G81" s="34"/>
      <c r="H81" s="34"/>
    </row>
    <row r="82" spans="1:8" x14ac:dyDescent="0.25">
      <c r="A82" s="34"/>
      <c r="B82" s="34"/>
      <c r="C82" s="34"/>
      <c r="D82" s="34"/>
      <c r="E82" s="34"/>
      <c r="F82" s="34"/>
      <c r="G82" s="34"/>
      <c r="H82" s="34"/>
    </row>
  </sheetData>
  <sheetProtection sheet="1" objects="1" scenarios="1"/>
  <mergeCells count="4">
    <mergeCell ref="A1:H2"/>
    <mergeCell ref="I1:U2"/>
    <mergeCell ref="V1:AH2"/>
    <mergeCell ref="AI1:AT2"/>
  </mergeCells>
  <dataValidations count="4">
    <dataValidation type="list" operator="equal" allowBlank="1" showInputMessage="1" showErrorMessage="1" sqref="F78">
      <formula1>"UNTESTED,FAIL"</formula1>
    </dataValidation>
    <dataValidation type="list" allowBlank="1" showInputMessage="1" showErrorMessage="1" sqref="AO28 AO34">
      <formula1>"VA0001"</formula1>
    </dataValidation>
    <dataValidation type="list" allowBlank="1" showInputMessage="1" showErrorMessage="1" sqref="E3 V3:AH4 F3:H4 A3:D4">
      <formula1>"UNTESTED,FAIL,PASS"</formula1>
    </dataValidation>
    <dataValidation type="date" operator="greaterThan" allowBlank="1" showInputMessage="1" showErrorMessage="1" sqref="E4">
      <formula1>36526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501650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412750</xdr:colOff>
                    <xdr:row>0</xdr:row>
                    <xdr:rowOff>82550</xdr:rowOff>
                  </from>
                  <to>
                    <xdr:col>23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107950</xdr:rowOff>
                  </from>
                  <to>
                    <xdr:col>37</xdr:col>
                    <xdr:colOff>146050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6350</xdr:colOff>
                    <xdr:row>0</xdr:row>
                    <xdr:rowOff>76200</xdr:rowOff>
                  </from>
                  <to>
                    <xdr:col>31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25"/>
  <sheetViews>
    <sheetView zoomScale="85" zoomScaleNormal="85" workbookViewId="0">
      <selection activeCell="D3" sqref="D3"/>
    </sheetView>
  </sheetViews>
  <sheetFormatPr defaultRowHeight="12.5" x14ac:dyDescent="0.25"/>
  <cols>
    <col min="2" max="2" width="10.453125" bestFit="1" customWidth="1"/>
    <col min="3" max="3" width="11.08984375" bestFit="1" customWidth="1"/>
    <col min="4" max="4" width="199.90625" bestFit="1" customWidth="1"/>
    <col min="5" max="8" width="0" hidden="1" customWidth="1"/>
    <col min="9" max="9" width="8.90625" hidden="1" customWidth="1"/>
    <col min="10" max="10" width="77.453125" bestFit="1" customWidth="1"/>
    <col min="11" max="11" width="11.54296875" style="238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1825</v>
      </c>
    </row>
    <row r="4" spans="3:8" x14ac:dyDescent="0.25">
      <c r="C4" s="144" t="s">
        <v>1683</v>
      </c>
      <c r="D4" s="144" t="s">
        <v>1817</v>
      </c>
    </row>
    <row r="5" spans="3:8" x14ac:dyDescent="0.25">
      <c r="C5" s="144" t="s">
        <v>1684</v>
      </c>
      <c r="D5" s="144" t="s">
        <v>1818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31" t="s">
        <v>1767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1:12" ht="15.5" x14ac:dyDescent="0.35">
      <c r="A24" s="233"/>
      <c r="B24" s="233"/>
      <c r="C24" s="236" t="s">
        <v>1719</v>
      </c>
      <c r="D24" s="233"/>
      <c r="E24" s="233"/>
      <c r="F24" s="233"/>
      <c r="G24" s="233"/>
      <c r="H24" s="233"/>
      <c r="I24" s="233"/>
      <c r="J24" s="237" t="s">
        <v>1721</v>
      </c>
      <c r="K24" s="239" t="s">
        <v>1661</v>
      </c>
      <c r="L24" s="144" t="s">
        <v>1743</v>
      </c>
    </row>
    <row r="25" spans="1:12" ht="14.5" x14ac:dyDescent="0.35">
      <c r="B25" s="234"/>
      <c r="L25" s="240"/>
    </row>
    <row r="26" spans="1:12" ht="15.5" x14ac:dyDescent="0.35">
      <c r="B26" s="235" t="s">
        <v>1716</v>
      </c>
      <c r="L26" s="240"/>
    </row>
    <row r="27" spans="1:12" ht="14.5" x14ac:dyDescent="0.35">
      <c r="B27" s="234"/>
      <c r="C27" s="228" t="s">
        <v>1717</v>
      </c>
      <c r="D27" s="144" t="s">
        <v>1720</v>
      </c>
      <c r="J27" s="229" t="s">
        <v>1734</v>
      </c>
      <c r="L27" s="241"/>
    </row>
    <row r="28" spans="1:12" ht="14.5" x14ac:dyDescent="0.35">
      <c r="B28" s="234"/>
      <c r="C28" s="228" t="s">
        <v>1718</v>
      </c>
      <c r="D28" s="144" t="s">
        <v>1722</v>
      </c>
      <c r="G28" s="227"/>
      <c r="J28" s="230" t="s">
        <v>1723</v>
      </c>
      <c r="K28" s="238">
        <v>44061</v>
      </c>
      <c r="L28" s="241" t="s">
        <v>1746</v>
      </c>
    </row>
    <row r="29" spans="1:12" ht="14.5" x14ac:dyDescent="0.35">
      <c r="B29" s="234"/>
      <c r="C29" s="228" t="s">
        <v>1724</v>
      </c>
      <c r="D29" s="144" t="s">
        <v>1725</v>
      </c>
      <c r="J29" s="231" t="s">
        <v>1726</v>
      </c>
      <c r="L29" s="240"/>
    </row>
    <row r="30" spans="1:12" ht="14.5" x14ac:dyDescent="0.35">
      <c r="B30" s="234"/>
      <c r="C30" s="228" t="s">
        <v>1727</v>
      </c>
      <c r="D30" s="144" t="s">
        <v>1728</v>
      </c>
      <c r="J30" s="231" t="s">
        <v>1726</v>
      </c>
      <c r="L30" s="240"/>
    </row>
    <row r="31" spans="1:12" ht="14.5" x14ac:dyDescent="0.35">
      <c r="B31" s="234"/>
      <c r="C31" s="228" t="s">
        <v>1729</v>
      </c>
      <c r="D31" s="144" t="s">
        <v>1730</v>
      </c>
      <c r="J31" s="230" t="s">
        <v>1764</v>
      </c>
      <c r="K31" s="238">
        <v>44060</v>
      </c>
      <c r="L31" s="241" t="s">
        <v>1744</v>
      </c>
    </row>
    <row r="32" spans="1:12" ht="14.5" x14ac:dyDescent="0.35">
      <c r="B32" s="234"/>
      <c r="C32" s="6"/>
      <c r="L32" s="240"/>
    </row>
    <row r="33" spans="2:12" ht="15.5" x14ac:dyDescent="0.35">
      <c r="B33" s="235" t="s">
        <v>1731</v>
      </c>
      <c r="C33" s="6"/>
      <c r="L33" s="240"/>
    </row>
    <row r="34" spans="2:12" ht="14.5" x14ac:dyDescent="0.35">
      <c r="B34" s="234"/>
      <c r="C34" s="228" t="s">
        <v>1717</v>
      </c>
      <c r="D34" s="144" t="s">
        <v>1754</v>
      </c>
      <c r="J34" s="230" t="s">
        <v>1732</v>
      </c>
      <c r="K34" s="238">
        <v>44060</v>
      </c>
      <c r="L34" s="241" t="s">
        <v>1744</v>
      </c>
    </row>
    <row r="35" spans="2:12" ht="14.5" x14ac:dyDescent="0.35">
      <c r="B35" s="234"/>
      <c r="C35" s="228" t="s">
        <v>1718</v>
      </c>
      <c r="D35" s="144" t="s">
        <v>1755</v>
      </c>
      <c r="J35" s="230" t="s">
        <v>1733</v>
      </c>
      <c r="K35" s="238">
        <v>44060</v>
      </c>
      <c r="L35" s="241" t="s">
        <v>1744</v>
      </c>
    </row>
    <row r="36" spans="2:12" ht="14.5" x14ac:dyDescent="0.35">
      <c r="B36" s="234"/>
      <c r="C36" s="228" t="s">
        <v>1724</v>
      </c>
      <c r="D36" s="144" t="s">
        <v>1756</v>
      </c>
      <c r="J36" s="229" t="s">
        <v>1734</v>
      </c>
      <c r="L36" s="240"/>
    </row>
    <row r="37" spans="2:12" ht="14.5" x14ac:dyDescent="0.35">
      <c r="B37" s="234"/>
      <c r="C37" s="228" t="s">
        <v>1727</v>
      </c>
      <c r="D37" s="144" t="s">
        <v>1757</v>
      </c>
      <c r="J37" s="230" t="s">
        <v>1745</v>
      </c>
      <c r="K37" s="238">
        <v>44060</v>
      </c>
      <c r="L37" s="241" t="s">
        <v>1744</v>
      </c>
    </row>
    <row r="38" spans="2:12" ht="14.5" x14ac:dyDescent="0.35">
      <c r="B38" s="234"/>
      <c r="C38" s="228" t="s">
        <v>1729</v>
      </c>
      <c r="D38" s="144" t="s">
        <v>1758</v>
      </c>
      <c r="J38" s="230" t="s">
        <v>1723</v>
      </c>
      <c r="K38" s="238">
        <v>44060</v>
      </c>
      <c r="L38" s="241" t="s">
        <v>1744</v>
      </c>
    </row>
    <row r="39" spans="2:12" ht="14.5" x14ac:dyDescent="0.35">
      <c r="B39" s="234"/>
      <c r="C39" s="228" t="s">
        <v>1735</v>
      </c>
      <c r="D39" s="144" t="s">
        <v>1759</v>
      </c>
      <c r="J39" s="229" t="s">
        <v>1734</v>
      </c>
      <c r="L39" s="240"/>
    </row>
    <row r="40" spans="2:12" ht="14.5" x14ac:dyDescent="0.35">
      <c r="B40" s="234"/>
      <c r="C40" s="228" t="s">
        <v>1736</v>
      </c>
      <c r="D40" s="144" t="s">
        <v>1760</v>
      </c>
      <c r="J40" s="230" t="s">
        <v>1742</v>
      </c>
      <c r="K40" s="238">
        <v>44060</v>
      </c>
      <c r="L40" s="241" t="s">
        <v>1744</v>
      </c>
    </row>
    <row r="41" spans="2:12" ht="14.5" x14ac:dyDescent="0.35">
      <c r="B41" s="234"/>
      <c r="C41" s="228" t="s">
        <v>1737</v>
      </c>
      <c r="D41" s="144" t="s">
        <v>1761</v>
      </c>
      <c r="J41" s="230" t="s">
        <v>1741</v>
      </c>
      <c r="K41" s="238">
        <v>44060</v>
      </c>
      <c r="L41" s="241" t="s">
        <v>1744</v>
      </c>
    </row>
    <row r="42" spans="2:12" ht="14.5" x14ac:dyDescent="0.35">
      <c r="B42" s="234"/>
      <c r="C42" s="228"/>
      <c r="D42" s="144"/>
      <c r="J42" s="230"/>
      <c r="L42" s="241"/>
    </row>
    <row r="43" spans="2:12" ht="14.5" x14ac:dyDescent="0.35">
      <c r="B43" s="234"/>
      <c r="C43" s="252">
        <v>44063</v>
      </c>
      <c r="D43" s="144"/>
      <c r="L43" s="241"/>
    </row>
    <row r="44" spans="2:12" ht="14.5" x14ac:dyDescent="0.35">
      <c r="B44" s="234"/>
      <c r="C44" s="228"/>
      <c r="D44" s="144" t="s">
        <v>1768</v>
      </c>
      <c r="J44" s="230" t="s">
        <v>1777</v>
      </c>
      <c r="K44" s="238">
        <v>44064</v>
      </c>
      <c r="L44" s="241" t="s">
        <v>1782</v>
      </c>
    </row>
    <row r="45" spans="2:12" ht="14.5" x14ac:dyDescent="0.35">
      <c r="B45" s="234"/>
      <c r="C45" s="228"/>
      <c r="D45" s="144" t="s">
        <v>1769</v>
      </c>
      <c r="J45" s="230" t="s">
        <v>1778</v>
      </c>
      <c r="K45" s="238">
        <v>44064</v>
      </c>
      <c r="L45" s="241" t="s">
        <v>1782</v>
      </c>
    </row>
    <row r="46" spans="2:12" ht="14.5" x14ac:dyDescent="0.35">
      <c r="B46" s="234"/>
      <c r="C46" s="228"/>
      <c r="D46" s="144" t="s">
        <v>1770</v>
      </c>
      <c r="J46" s="230" t="s">
        <v>1777</v>
      </c>
      <c r="K46" s="238">
        <v>44064</v>
      </c>
      <c r="L46" s="241" t="s">
        <v>1782</v>
      </c>
    </row>
    <row r="47" spans="2:12" ht="14.5" x14ac:dyDescent="0.35">
      <c r="B47" s="234"/>
      <c r="C47" s="228"/>
      <c r="D47" s="144" t="s">
        <v>1771</v>
      </c>
      <c r="J47" s="230" t="s">
        <v>1779</v>
      </c>
      <c r="K47" s="238">
        <v>44064</v>
      </c>
      <c r="L47" s="241" t="s">
        <v>1782</v>
      </c>
    </row>
    <row r="48" spans="2:12" ht="14.5" x14ac:dyDescent="0.35">
      <c r="B48" s="234"/>
      <c r="C48" s="228"/>
      <c r="D48" s="144" t="s">
        <v>1772</v>
      </c>
      <c r="J48" s="230" t="s">
        <v>1780</v>
      </c>
      <c r="K48" s="238">
        <v>44064</v>
      </c>
      <c r="L48" s="241" t="s">
        <v>1782</v>
      </c>
    </row>
    <row r="49" spans="2:12" ht="14.5" x14ac:dyDescent="0.35">
      <c r="B49" s="234"/>
      <c r="C49" s="228"/>
      <c r="D49" s="144" t="s">
        <v>1773</v>
      </c>
      <c r="J49" s="230" t="s">
        <v>1781</v>
      </c>
      <c r="K49" s="238">
        <v>44064</v>
      </c>
      <c r="L49" s="241" t="s">
        <v>1782</v>
      </c>
    </row>
    <row r="50" spans="2:12" ht="14.5" x14ac:dyDescent="0.35">
      <c r="B50" s="234"/>
      <c r="C50" s="228"/>
      <c r="D50" s="144" t="s">
        <v>1774</v>
      </c>
      <c r="J50" s="230" t="s">
        <v>1777</v>
      </c>
      <c r="K50" s="238">
        <v>44064</v>
      </c>
      <c r="L50" s="241" t="s">
        <v>1782</v>
      </c>
    </row>
    <row r="51" spans="2:12" ht="14.5" x14ac:dyDescent="0.35">
      <c r="B51" s="234"/>
      <c r="C51" s="228"/>
      <c r="D51" s="144"/>
      <c r="J51" s="144"/>
      <c r="L51" s="241"/>
    </row>
    <row r="52" spans="2:12" ht="14.5" x14ac:dyDescent="0.35">
      <c r="B52" s="234"/>
      <c r="C52" s="252">
        <v>44068</v>
      </c>
      <c r="D52" s="144"/>
      <c r="L52" s="241"/>
    </row>
    <row r="53" spans="2:12" ht="14.5" x14ac:dyDescent="0.35">
      <c r="B53" s="234"/>
      <c r="C53" s="252"/>
      <c r="D53" s="144" t="s">
        <v>1783</v>
      </c>
      <c r="J53" s="230" t="s">
        <v>1802</v>
      </c>
      <c r="K53" s="238">
        <v>44068</v>
      </c>
      <c r="L53" s="241" t="s">
        <v>1784</v>
      </c>
    </row>
    <row r="54" spans="2:12" s="248" customFormat="1" ht="14.5" x14ac:dyDescent="0.35">
      <c r="B54" s="249"/>
      <c r="C54" s="250"/>
      <c r="D54" s="144"/>
      <c r="J54"/>
      <c r="K54" s="238"/>
      <c r="L54" s="251"/>
    </row>
    <row r="55" spans="2:12" ht="14.5" x14ac:dyDescent="0.35">
      <c r="B55" s="234"/>
      <c r="C55" s="228"/>
      <c r="D55" s="144" t="s">
        <v>1775</v>
      </c>
      <c r="L55" s="241"/>
    </row>
    <row r="56" spans="2:12" ht="14.5" x14ac:dyDescent="0.35">
      <c r="B56" s="234"/>
      <c r="C56" s="228"/>
      <c r="D56" s="275" t="s">
        <v>1776</v>
      </c>
      <c r="E56" s="277"/>
      <c r="F56" s="277"/>
      <c r="G56" s="277"/>
      <c r="H56" s="277"/>
      <c r="I56" s="277"/>
      <c r="J56" s="276" t="s">
        <v>1814</v>
      </c>
      <c r="K56"/>
    </row>
    <row r="57" spans="2:12" ht="14.5" x14ac:dyDescent="0.35">
      <c r="B57" s="234"/>
      <c r="C57" s="228"/>
      <c r="D57" s="144"/>
      <c r="J57" s="144"/>
      <c r="L57" s="241"/>
    </row>
    <row r="58" spans="2:12" ht="14.5" x14ac:dyDescent="0.35">
      <c r="B58" s="234"/>
      <c r="C58" s="252">
        <v>44069</v>
      </c>
      <c r="D58" s="144"/>
      <c r="J58" s="144"/>
      <c r="L58" s="241"/>
    </row>
    <row r="59" spans="2:12" ht="14.5" x14ac:dyDescent="0.35">
      <c r="B59" s="234"/>
      <c r="C59" s="228"/>
      <c r="D59" s="144" t="s">
        <v>1793</v>
      </c>
      <c r="J59" s="230" t="s">
        <v>1800</v>
      </c>
      <c r="K59" s="238">
        <v>44069</v>
      </c>
      <c r="L59" s="241" t="s">
        <v>1803</v>
      </c>
    </row>
    <row r="60" spans="2:12" ht="14.5" x14ac:dyDescent="0.35">
      <c r="B60" s="234"/>
      <c r="C60" s="228"/>
      <c r="D60" s="144" t="s">
        <v>1794</v>
      </c>
      <c r="J60" s="230" t="s">
        <v>1801</v>
      </c>
      <c r="K60" s="238">
        <v>44069</v>
      </c>
      <c r="L60" s="241" t="s">
        <v>1803</v>
      </c>
    </row>
    <row r="61" spans="2:12" ht="14.5" x14ac:dyDescent="0.35">
      <c r="B61" s="234"/>
      <c r="C61" s="228"/>
      <c r="D61" s="144" t="s">
        <v>1804</v>
      </c>
      <c r="J61" s="230" t="s">
        <v>1805</v>
      </c>
      <c r="K61" s="238">
        <v>44069</v>
      </c>
      <c r="L61" s="241" t="s">
        <v>1806</v>
      </c>
    </row>
    <row r="62" spans="2:12" ht="14.5" x14ac:dyDescent="0.35">
      <c r="B62" s="234"/>
      <c r="C62" s="228"/>
      <c r="D62" s="144" t="s">
        <v>1807</v>
      </c>
      <c r="J62" s="230" t="s">
        <v>1808</v>
      </c>
      <c r="K62" s="238">
        <v>44070</v>
      </c>
      <c r="L62" s="241" t="s">
        <v>1809</v>
      </c>
    </row>
    <row r="63" spans="2:12" ht="14.5" x14ac:dyDescent="0.35">
      <c r="B63" s="234"/>
      <c r="C63" s="228"/>
      <c r="D63" s="253"/>
      <c r="L63" s="241"/>
    </row>
    <row r="64" spans="2:12" ht="14.5" x14ac:dyDescent="0.35">
      <c r="B64" s="234" t="s">
        <v>1762</v>
      </c>
      <c r="C64" s="252">
        <v>44063</v>
      </c>
      <c r="D64" s="144"/>
      <c r="L64" s="241"/>
    </row>
    <row r="65" spans="2:12" ht="14.5" x14ac:dyDescent="0.35">
      <c r="B65" s="234"/>
      <c r="C65" s="228"/>
      <c r="D65" s="144" t="s">
        <v>1792</v>
      </c>
      <c r="J65" s="231" t="s">
        <v>1791</v>
      </c>
      <c r="L65" s="241"/>
    </row>
    <row r="66" spans="2:12" ht="14.5" x14ac:dyDescent="0.35">
      <c r="B66" s="234"/>
      <c r="C66" s="228"/>
      <c r="D66" s="144" t="s">
        <v>1811</v>
      </c>
      <c r="J66" s="230" t="s">
        <v>1810</v>
      </c>
      <c r="K66" s="238">
        <v>44070</v>
      </c>
      <c r="L66" s="273" t="s">
        <v>1809</v>
      </c>
    </row>
    <row r="67" spans="2:12" ht="14.5" x14ac:dyDescent="0.35">
      <c r="B67" s="234"/>
      <c r="C67" s="228"/>
      <c r="D67" s="144"/>
      <c r="L67" s="241"/>
    </row>
    <row r="68" spans="2:12" ht="14.5" x14ac:dyDescent="0.35">
      <c r="B68" s="234"/>
      <c r="C68" s="252">
        <v>44068</v>
      </c>
      <c r="D68" s="144"/>
      <c r="L68" s="241"/>
    </row>
    <row r="69" spans="2:12" ht="14.5" x14ac:dyDescent="0.35">
      <c r="B69" s="234"/>
      <c r="C69" s="228"/>
      <c r="D69" s="144" t="s">
        <v>1785</v>
      </c>
      <c r="J69" s="230" t="s">
        <v>1789</v>
      </c>
      <c r="K69" s="238">
        <v>44068</v>
      </c>
      <c r="L69" s="241" t="s">
        <v>1784</v>
      </c>
    </row>
    <row r="70" spans="2:12" ht="14.5" x14ac:dyDescent="0.35">
      <c r="B70" s="234"/>
      <c r="C70" s="228"/>
      <c r="D70" s="144" t="s">
        <v>1787</v>
      </c>
      <c r="J70" s="230" t="s">
        <v>1788</v>
      </c>
      <c r="K70" s="238">
        <v>44068</v>
      </c>
      <c r="L70" s="241" t="s">
        <v>1784</v>
      </c>
    </row>
    <row r="71" spans="2:12" x14ac:dyDescent="0.25">
      <c r="C71" s="228"/>
      <c r="D71" s="144"/>
      <c r="L71" s="241"/>
    </row>
    <row r="72" spans="2:12" x14ac:dyDescent="0.25">
      <c r="C72" s="252">
        <v>44069</v>
      </c>
      <c r="D72" s="144"/>
      <c r="L72" s="241"/>
    </row>
    <row r="73" spans="2:12" x14ac:dyDescent="0.25">
      <c r="C73" s="228"/>
      <c r="D73" s="144" t="s">
        <v>1797</v>
      </c>
      <c r="J73" s="231" t="s">
        <v>1798</v>
      </c>
      <c r="L73" s="241" t="s">
        <v>1799</v>
      </c>
    </row>
    <row r="74" spans="2:12" x14ac:dyDescent="0.25">
      <c r="C74" s="228"/>
      <c r="D74" s="144"/>
      <c r="L74" s="241"/>
    </row>
    <row r="75" spans="2:12" x14ac:dyDescent="0.25">
      <c r="C75" s="252">
        <v>44117</v>
      </c>
    </row>
    <row r="76" spans="2:12" x14ac:dyDescent="0.25">
      <c r="C76" s="228"/>
      <c r="D76" s="144" t="s">
        <v>1813</v>
      </c>
      <c r="J76" s="231" t="s">
        <v>1798</v>
      </c>
      <c r="L76" s="241" t="s">
        <v>1812</v>
      </c>
    </row>
    <row r="77" spans="2:12" ht="11.5" customHeight="1" x14ac:dyDescent="0.25">
      <c r="K77"/>
    </row>
    <row r="78" spans="2:12" ht="11.5" customHeight="1" x14ac:dyDescent="0.25">
      <c r="K78"/>
    </row>
    <row r="79" spans="2:12" ht="11.5" customHeight="1" x14ac:dyDescent="0.25">
      <c r="K79"/>
    </row>
    <row r="80" spans="2:12" ht="11.5" customHeight="1" x14ac:dyDescent="0.25">
      <c r="K80"/>
    </row>
    <row r="81" spans="1:12" x14ac:dyDescent="0.25">
      <c r="K81"/>
    </row>
    <row r="82" spans="1:12" x14ac:dyDescent="0.25">
      <c r="K82"/>
    </row>
    <row r="83" spans="1:12" x14ac:dyDescent="0.25">
      <c r="C83" s="6"/>
      <c r="L83" s="240"/>
    </row>
    <row r="84" spans="1:12" ht="15.5" x14ac:dyDescent="0.35">
      <c r="A84" s="233"/>
      <c r="B84" s="233"/>
      <c r="C84" s="237" t="s">
        <v>1034</v>
      </c>
      <c r="D84" s="233"/>
      <c r="E84" s="233"/>
      <c r="F84" s="233"/>
      <c r="G84" s="233"/>
      <c r="H84" s="233"/>
      <c r="I84" s="233"/>
      <c r="J84" s="237" t="s">
        <v>1721</v>
      </c>
      <c r="L84" s="240"/>
    </row>
    <row r="85" spans="1:12" ht="14.5" x14ac:dyDescent="0.35">
      <c r="B85" s="234"/>
      <c r="L85" s="240"/>
    </row>
    <row r="86" spans="1:12" ht="15.5" x14ac:dyDescent="0.35">
      <c r="B86" s="235" t="s">
        <v>1731</v>
      </c>
      <c r="L86" s="240"/>
    </row>
    <row r="87" spans="1:12" ht="14.5" x14ac:dyDescent="0.35">
      <c r="B87" s="234"/>
      <c r="C87" s="228" t="s">
        <v>1717</v>
      </c>
      <c r="D87" s="144" t="s">
        <v>1748</v>
      </c>
      <c r="J87" s="230" t="s">
        <v>1738</v>
      </c>
      <c r="K87" s="238">
        <v>44060</v>
      </c>
      <c r="L87" s="241" t="s">
        <v>1744</v>
      </c>
    </row>
    <row r="88" spans="1:12" ht="14.5" x14ac:dyDescent="0.35">
      <c r="B88" s="234"/>
      <c r="C88" s="228" t="s">
        <v>1718</v>
      </c>
      <c r="D88" s="144" t="s">
        <v>1749</v>
      </c>
      <c r="J88" s="230" t="s">
        <v>1739</v>
      </c>
      <c r="K88" s="238">
        <v>44060</v>
      </c>
      <c r="L88" s="241" t="s">
        <v>1744</v>
      </c>
    </row>
    <row r="89" spans="1:12" ht="14.5" x14ac:dyDescent="0.35">
      <c r="B89" s="234"/>
      <c r="C89" s="228" t="s">
        <v>1724</v>
      </c>
      <c r="D89" s="144" t="s">
        <v>1750</v>
      </c>
      <c r="J89" s="230" t="s">
        <v>1740</v>
      </c>
      <c r="K89" s="238">
        <v>44060</v>
      </c>
      <c r="L89" s="241" t="s">
        <v>1744</v>
      </c>
    </row>
    <row r="90" spans="1:12" ht="14.5" x14ac:dyDescent="0.35">
      <c r="B90" s="234"/>
      <c r="C90" s="228" t="s">
        <v>1727</v>
      </c>
      <c r="D90" s="144" t="s">
        <v>1751</v>
      </c>
      <c r="J90" s="230" t="s">
        <v>1747</v>
      </c>
      <c r="K90" s="238">
        <v>44061</v>
      </c>
      <c r="L90" s="241" t="s">
        <v>1746</v>
      </c>
    </row>
    <row r="91" spans="1:12" ht="14.5" x14ac:dyDescent="0.35">
      <c r="B91" s="234"/>
      <c r="C91" s="228" t="s">
        <v>1729</v>
      </c>
      <c r="D91" s="144" t="s">
        <v>1752</v>
      </c>
      <c r="J91" s="230" t="s">
        <v>1765</v>
      </c>
      <c r="K91" s="238">
        <v>44061</v>
      </c>
      <c r="L91" s="241" t="s">
        <v>1746</v>
      </c>
    </row>
    <row r="92" spans="1:12" ht="14.5" x14ac:dyDescent="0.35">
      <c r="B92" s="234"/>
      <c r="C92" s="228" t="s">
        <v>1735</v>
      </c>
      <c r="D92" s="144" t="s">
        <v>1753</v>
      </c>
      <c r="J92" s="230" t="s">
        <v>1763</v>
      </c>
      <c r="K92" s="239">
        <v>44061</v>
      </c>
      <c r="L92" s="241" t="s">
        <v>1746</v>
      </c>
    </row>
    <row r="93" spans="1:12" ht="14.5" x14ac:dyDescent="0.35">
      <c r="B93" s="234"/>
      <c r="C93" s="6"/>
      <c r="L93" s="240"/>
    </row>
    <row r="94" spans="1:12" ht="14.5" x14ac:dyDescent="0.35">
      <c r="B94" s="234" t="s">
        <v>1762</v>
      </c>
      <c r="C94" s="228"/>
      <c r="D94" s="144"/>
      <c r="L94" s="240"/>
    </row>
    <row r="95" spans="1:12" x14ac:dyDescent="0.25">
      <c r="C95" s="228"/>
      <c r="D95" s="144" t="s">
        <v>1766</v>
      </c>
      <c r="J95" s="231" t="s">
        <v>1767</v>
      </c>
      <c r="L95" s="240"/>
    </row>
    <row r="96" spans="1:12" x14ac:dyDescent="0.25">
      <c r="C96" s="252">
        <v>44068</v>
      </c>
      <c r="L96" s="240"/>
    </row>
    <row r="97" spans="2:12" x14ac:dyDescent="0.25">
      <c r="C97" s="6"/>
      <c r="D97" s="144" t="s">
        <v>1790</v>
      </c>
      <c r="J97" s="230" t="s">
        <v>1789</v>
      </c>
      <c r="K97" s="238">
        <v>44068</v>
      </c>
      <c r="L97" s="241" t="s">
        <v>1784</v>
      </c>
    </row>
    <row r="98" spans="2:12" x14ac:dyDescent="0.25">
      <c r="C98" s="6"/>
      <c r="L98" s="240"/>
    </row>
    <row r="99" spans="2:12" x14ac:dyDescent="0.25">
      <c r="C99" s="252">
        <v>44117</v>
      </c>
    </row>
    <row r="100" spans="2:12" x14ac:dyDescent="0.25">
      <c r="C100" s="228"/>
      <c r="D100" s="144" t="s">
        <v>1813</v>
      </c>
      <c r="J100" s="231" t="s">
        <v>1798</v>
      </c>
      <c r="L100" s="241" t="s">
        <v>1812</v>
      </c>
    </row>
    <row r="101" spans="2:12" x14ac:dyDescent="0.25">
      <c r="C101" s="6"/>
      <c r="L101" s="240"/>
    </row>
    <row r="102" spans="2:12" x14ac:dyDescent="0.25">
      <c r="C102" s="6"/>
      <c r="L102" s="240"/>
    </row>
    <row r="103" spans="2:12" x14ac:dyDescent="0.25">
      <c r="C103" s="6"/>
      <c r="L103" s="240"/>
    </row>
    <row r="104" spans="2:12" x14ac:dyDescent="0.25">
      <c r="C104" s="6"/>
      <c r="L104" s="240"/>
    </row>
    <row r="105" spans="2:12" s="233" customFormat="1" ht="14.5" x14ac:dyDescent="0.35"/>
    <row r="106" spans="2:12" x14ac:dyDescent="0.25">
      <c r="C106" s="6"/>
      <c r="L106" s="240"/>
    </row>
    <row r="107" spans="2:12" x14ac:dyDescent="0.25">
      <c r="C107" s="6"/>
      <c r="L107" s="240"/>
    </row>
    <row r="108" spans="2:12" x14ac:dyDescent="0.25">
      <c r="C108" s="6"/>
      <c r="L108" s="240"/>
    </row>
    <row r="109" spans="2:12" x14ac:dyDescent="0.25">
      <c r="C109" s="6"/>
      <c r="L109" s="240"/>
    </row>
    <row r="110" spans="2:12" ht="14.5" x14ac:dyDescent="0.35">
      <c r="B110" s="234" t="s">
        <v>1816</v>
      </c>
      <c r="C110" s="6"/>
      <c r="L110" s="240"/>
    </row>
    <row r="111" spans="2:12" ht="14.5" x14ac:dyDescent="0.35">
      <c r="B111" s="234"/>
      <c r="C111" s="278">
        <v>44123</v>
      </c>
      <c r="L111" s="240"/>
    </row>
    <row r="112" spans="2:12" ht="14.5" x14ac:dyDescent="0.35">
      <c r="B112" s="234"/>
      <c r="C112" s="6"/>
      <c r="D112" s="227" t="s">
        <v>1815</v>
      </c>
      <c r="J112" s="231" t="s">
        <v>1767</v>
      </c>
      <c r="L112" s="240"/>
    </row>
    <row r="113" spans="2:12" ht="14.5" x14ac:dyDescent="0.35">
      <c r="B113" s="234"/>
      <c r="C113" s="6"/>
      <c r="D113" s="227" t="s">
        <v>1819</v>
      </c>
      <c r="L113" s="240"/>
    </row>
    <row r="114" spans="2:12" ht="14.5" x14ac:dyDescent="0.35">
      <c r="B114" s="234"/>
      <c r="C114" s="6"/>
      <c r="D114" s="227" t="s">
        <v>1820</v>
      </c>
      <c r="L114" s="240"/>
    </row>
    <row r="115" spans="2:12" ht="14.5" x14ac:dyDescent="0.35">
      <c r="B115" s="234"/>
      <c r="C115" s="6"/>
      <c r="L115" s="240"/>
    </row>
    <row r="116" spans="2:12" ht="14.5" x14ac:dyDescent="0.35">
      <c r="B116" s="234"/>
      <c r="C116" s="6"/>
      <c r="L116" s="240"/>
    </row>
    <row r="117" spans="2:12" ht="14.5" x14ac:dyDescent="0.35">
      <c r="B117" s="234"/>
      <c r="C117" s="6"/>
      <c r="L117" s="240"/>
    </row>
    <row r="118" spans="2:12" ht="14.5" x14ac:dyDescent="0.35">
      <c r="B118" s="234"/>
      <c r="C118" s="6"/>
      <c r="L118" s="240"/>
    </row>
    <row r="119" spans="2:12" x14ac:dyDescent="0.25">
      <c r="C119" s="6"/>
      <c r="L119" s="240"/>
    </row>
    <row r="120" spans="2:12" x14ac:dyDescent="0.25">
      <c r="C120" s="6"/>
      <c r="L120" s="240"/>
    </row>
    <row r="121" spans="2:12" x14ac:dyDescent="0.25">
      <c r="C121" s="6"/>
      <c r="L121" s="240"/>
    </row>
    <row r="122" spans="2:12" x14ac:dyDescent="0.25">
      <c r="C122" s="6"/>
      <c r="L122" s="240"/>
    </row>
    <row r="123" spans="2:12" x14ac:dyDescent="0.25">
      <c r="C123" s="6"/>
      <c r="L123" s="240"/>
    </row>
    <row r="124" spans="2:12" x14ac:dyDescent="0.25">
      <c r="C124" s="6"/>
    </row>
    <row r="125" spans="2:12" x14ac:dyDescent="0.25">
      <c r="C125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2020-10-20T10:21:24Z</dcterms:modified>
</cp:coreProperties>
</file>