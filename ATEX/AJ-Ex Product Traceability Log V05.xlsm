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4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F8" i="11" l="1"/>
  <c r="J8" i="11" s="1"/>
  <c r="F7" i="11"/>
  <c r="J7" i="11" s="1"/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<sst xmlns="http://schemas.openxmlformats.org/spreadsheetml/2006/main" count="5201" uniqueCount="1869">
  <si>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</si>
  <si>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</si>
  <si>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</si>
  <si>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</si>
  <si>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</si>
  <si>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</si>
  <si>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</si>
  <si>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</si>
  <si>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</si>
  <si>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</si>
  <si>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</si>
  <si>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</si>
  <si>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</si>
  <si>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</si>
  <si>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</si>
  <si>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</si>
  <si>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</si>
  <si>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</si>
  <si>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</si>
  <si>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</si>
  <si>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</si>
  <si>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</si>
  <si>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</si>
  <si>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</si>
  <si>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</si>
  <si>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</si>
  <si>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</si>
  <si>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</si>
  <si>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</si>
  <si>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</si>
  <si>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</si>
  <si>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</si>
  <si>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</si>
  <si>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</si>
  <si>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</si>
  <si>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</si>
  <si>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</si>
  <si>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</si>
  <si>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</si>
  <si>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</si>
  <si>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</si>
  <si>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</si>
  <si>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</si>
  <si>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</si>
  <si>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</si>
  <si>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</si>
  <si>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</si>
  <si>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</si>
  <si>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</si>
  <si>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</si>
  <si>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</si>
  <si>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</si>
  <si>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</si>
  <si>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</si>
  <si>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</si>
  <si>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</si>
  <si>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</si>
  <si>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</si>
  <si>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</si>
  <si>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</si>
  <si>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</si>
  <si>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</si>
  <si>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</si>
  <si>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</si>
  <si>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</si>
  <si>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</si>
  <si>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</si>
  <si>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</si>
  <si>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</si>
  <si>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</si>
  <si>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</si>
  <si>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</si>
  <si>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</si>
  <si>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</si>
  <si>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</si>
  <si>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</si>
  <si>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</si>
  <si>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</si>
  <si>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</si>
  <si>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</si>
  <si>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</si>
  <si>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</si>
  <si>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</si>
  <si>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</si>
  <si>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</si>
  <si>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</si>
  <si>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</si>
  <si>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</si>
  <si>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</si>
  <si>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</si>
  <si>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</si>
  <si>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</si>
  <si>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</si>
  <si>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</si>
  <si>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</si>
  <si>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</si>
  <si>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</si>
  <si>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</si>
  <si>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</si>
  <si>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</si>
  <si>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</si>
  <si>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</si>
  <si>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</si>
  <si>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</si>
  <si>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</si>
  <si>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</si>
  <si>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</si>
  <si>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</si>
  <si>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</si>
  <si>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</si>
  <si>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</si>
  <si>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</si>
  <si>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</si>
  <si>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</si>
  <si>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</si>
  <si>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</si>
  <si>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</si>
  <si>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</si>
  <si>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</si>
  <si>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</si>
  <si>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</si>
  <si>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</si>
  <si>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</si>
  <si>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</si>
  <si>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</si>
  <si>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</si>
  <si>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</si>
  <si>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</si>
  <si>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</si>
  <si>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</si>
  <si>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</si>
  <si>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</si>
  <si>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</si>
  <si>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</si>
  <si>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</si>
  <si>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</si>
  <si>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</si>
  <si>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</si>
  <si>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</si>
  <si>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</si>
  <si>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</si>
  <si>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</si>
  <si>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</si>
  <si>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</si>
  <si>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</si>
  <si>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</si>
  <si>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</si>
  <si>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</si>
  <si>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</si>
  <si>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</si>
  <si>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</si>
  <si>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</si>
  <si>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</si>
  <si>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</si>
  <si>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</si>
  <si>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</si>
  <si>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</si>
  <si>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</si>
  <si>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</si>
  <si>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</si>
  <si>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</si>
  <si>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</si>
  <si>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</si>
  <si>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</si>
  <si>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</si>
  <si>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</si>
  <si>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</si>
  <si>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</si>
  <si>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</si>
  <si>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</si>
  <si>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</si>
  <si>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</si>
  <si>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</si>
  <si>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</si>
  <si>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</si>
  <si>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</si>
  <si>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</si>
  <si>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</si>
  <si>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</si>
  <si>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</si>
  <si>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</si>
  <si>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</si>
  <si>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</si>
  <si>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</si>
  <si>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</si>
  <si>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</si>
  <si>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</si>
  <si>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</si>
  <si>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</si>
  <si>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</si>
  <si>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</si>
  <si>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</si>
  <si>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</si>
  <si>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</si>
  <si>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</si>
  <si>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</si>
  <si>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</si>
  <si>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</si>
  <si>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</si>
  <si>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</si>
  <si>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</si>
  <si>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</si>
  <si>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</si>
  <si>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</si>
  <si>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</si>
  <si>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</si>
  <si>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</si>
  <si>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</si>
  <si>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</si>
  <si>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</si>
  <si>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</si>
  <si>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</si>
  <si>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</si>
  <si>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</si>
  <si>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</si>
  <si>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</si>
  <si>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</si>
  <si>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</si>
  <si>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</si>
  <si>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</si>
  <si>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</si>
  <si>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</si>
  <si>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</si>
  <si>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</si>
  <si>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</si>
  <si>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</si>
  <si>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</si>
  <si>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</si>
  <si>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</si>
  <si>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</si>
  <si>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</si>
  <si>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</si>
  <si>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</si>
  <si>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</si>
  <si>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</si>
  <si>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</si>
  <si>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</si>
  <si>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</si>
  <si>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</si>
  <si>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</si>
  <si>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</si>
  <si>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</si>
  <si>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</si>
  <si>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</si>
  <si>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</si>
  <si>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</si>
  <si>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</si>
  <si>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</si>
  <si>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</si>
  <si>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</si>
  <si>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</si>
  <si>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</si>
  <si>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</si>
  <si>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</si>
  <si>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</si>
  <si>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</si>
  <si>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</si>
  <si>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</si>
  <si>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</si>
  <si>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</si>
  <si>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</si>
  <si>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</si>
  <si>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</si>
  <si>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</si>
  <si>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</si>
  <si>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</si>
  <si>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</si>
  <si>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</si>
  <si>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</si>
  <si>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</si>
  <si>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</si>
  <si>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</si>
  <si>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</si>
  <si>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</si>
  <si>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</si>
  <si>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</si>
  <si>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</si>
  <si>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</si>
  <si>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</si>
  <si>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</si>
  <si>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</si>
  <si>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</si>
  <si>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</si>
  <si>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</si>
  <si>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</si>
  <si>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</si>
  <si>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</si>
  <si>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</si>
  <si>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</si>
  <si>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</si>
  <si>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</si>
  <si>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</si>
  <si>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</si>
  <si>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</si>
  <si>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</si>
  <si>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</si>
  <si>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</si>
  <si>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</si>
  <si>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</si>
  <si>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</si>
  <si>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</si>
  <si>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</si>
  <si>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</si>
  <si>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</si>
  <si>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</si>
  <si>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</si>
  <si>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</si>
  <si>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</si>
  <si>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</si>
  <si>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</si>
  <si>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</si>
  <si>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</si>
  <si>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</si>
  <si>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</si>
  <si>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</si>
  <si>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</si>
  <si>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</si>
  <si>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</si>
  <si>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</si>
  <si>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</si>
  <si>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</si>
  <si>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</si>
  <si>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</si>
  <si>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</si>
  <si>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</si>
  <si>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</si>
  <si>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</si>
  <si>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</si>
  <si>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</si>
  <si>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</si>
  <si>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</si>
  <si>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</si>
  <si>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</si>
  <si>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</si>
  <si>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</si>
  <si>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</si>
  <si>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</si>
  <si>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</si>
  <si>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</si>
  <si>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</si>
  <si>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</si>
  <si>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</si>
  <si>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</si>
  <si>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</si>
  <si>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</si>
  <si>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</si>
  <si>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</si>
  <si>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</si>
  <si>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</si>
  <si>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</si>
  <si>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</si>
  <si>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</si>
  <si>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</si>
  <si>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</si>
  <si>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</si>
  <si>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</si>
  <si>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</si>
  <si>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</si>
  <si>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</si>
  <si>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</si>
  <si>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</si>
  <si>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</si>
  <si>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</si>
  <si>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</si>
  <si>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</si>
  <si>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</si>
  <si>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</si>
  <si>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</si>
  <si>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</si>
  <si>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</si>
  <si>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</si>
  <si>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</si>
  <si>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</si>
  <si>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</si>
  <si>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</si>
  <si>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</si>
  <si>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</si>
  <si>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</si>
  <si>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</si>
  <si>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</si>
  <si>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</si>
  <si>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</si>
  <si>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</si>
  <si>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</si>
  <si>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</si>
  <si>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</si>
  <si>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</si>
  <si>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</si>
  <si>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</si>
  <si>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</si>
  <si>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</si>
  <si>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</si>
  <si>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</si>
  <si>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</si>
  <si>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</si>
  <si>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</si>
  <si>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</si>
  <si>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</si>
  <si>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</si>
  <si>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</si>
  <si>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</si>
  <si>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</si>
  <si>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</si>
  <si>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</si>
  <si>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</si>
  <si>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</si>
  <si>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</si>
  <si>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</si>
  <si>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</si>
  <si>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</si>
  <si>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</si>
  <si>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</si>
  <si>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</si>
  <si>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</si>
  <si>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</si>
  <si>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</si>
  <si>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</si>
  <si>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</si>
  <si>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</si>
  <si>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</si>
  <si>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</si>
  <si>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</si>
  <si>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</si>
  <si>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</si>
  <si>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</si>
  <si>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</si>
  <si>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</si>
  <si>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</si>
  <si>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</si>
  <si>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</si>
  <si>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</si>
  <si>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</si>
  <si>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</si>
  <si>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</si>
  <si>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</si>
  <si>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</si>
  <si>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</si>
  <si>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</si>
  <si>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</si>
  <si>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</si>
  <si>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</si>
  <si>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</si>
  <si>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</si>
  <si>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</si>
  <si>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</si>
  <si>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</si>
  <si>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</si>
  <si>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</si>
  <si>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</si>
  <si>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</si>
  <si>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</si>
  <si>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</si>
  <si>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</si>
  <si>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</si>
  <si>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</si>
  <si>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</si>
  <si>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</si>
  <si>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</si>
  <si>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</si>
  <si>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</si>
  <si>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</si>
  <si>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</si>
  <si>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</si>
  <si>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</si>
  <si>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</si>
  <si>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</si>
  <si>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</si>
  <si>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</si>
  <si>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</si>
  <si>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</si>
  <si>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</si>
  <si>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</si>
  <si>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</si>
  <si>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</si>
  <si>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</si>
  <si>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</si>
  <si>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</si>
  <si>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</si>
  <si>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</si>
  <si>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</si>
  <si>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</si>
  <si>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</si>
  <si>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</si>
  <si>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</si>
  <si>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</si>
  <si>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</si>
  <si>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</si>
  <si>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</si>
  <si>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</si>
  <si>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</si>
  <si>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</si>
  <si>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</si>
  <si>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</si>
  <si>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</si>
  <si>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</si>
  <si>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</si>
  <si>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</si>
  <si>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</si>
  <si>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</si>
  <si>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</si>
  <si>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</si>
  <si>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</si>
  <si>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</si>
  <si>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</si>
  <si>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</si>
  <si>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</si>
  <si>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</si>
  <si>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</si>
  <si>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</si>
  <si>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</si>
  <si>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</si>
  <si>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</si>
  <si>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</si>
  <si>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</si>
  <si>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</si>
  <si>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</si>
  <si>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</si>
  <si>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</si>
  <si>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</si>
  <si>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</si>
  <si>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</si>
  <si>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</si>
  <si>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</si>
  <si>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</si>
  <si>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</si>
  <si>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</si>
  <si>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</si>
  <si>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</si>
  <si>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</si>
  <si>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</si>
  <si>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</si>
  <si>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</si>
  <si>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</si>
  <si>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</si>
  <si>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</si>
  <si>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</si>
  <si>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</si>
  <si>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</si>
  <si>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</si>
  <si>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</si>
  <si>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</si>
  <si>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</si>
  <si>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</si>
  <si>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</si>
  <si>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</si>
  <si>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</si>
  <si>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</si>
  <si>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</si>
  <si>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</si>
  <si>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</si>
  <si>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</si>
  <si>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</si>
  <si>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</si>
  <si>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</si>
  <si>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</si>
  <si>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</si>
  <si>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</si>
  <si>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</si>
  <si>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</si>
  <si>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</si>
  <si>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</si>
  <si>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</si>
  <si>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</si>
  <si>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</si>
  <si>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</si>
  <si>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</si>
  <si>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</si>
  <si>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</si>
  <si>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</si>
  <si>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</si>
  <si>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</si>
  <si>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</si>
  <si>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</si>
  <si>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</si>
  <si>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</si>
  <si>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</si>
  <si>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</si>
  <si>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</si>
  <si>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</si>
  <si>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</si>
  <si>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</si>
  <si>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</si>
  <si>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</si>
  <si>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</si>
  <si>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</si>
  <si>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</si>
  <si>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</si>
  <si>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</si>
  <si>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</si>
  <si>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</si>
  <si>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</si>
  <si>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</si>
  <si>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</si>
  <si>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</si>
  <si>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</si>
  <si>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</si>
  <si>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</si>
  <si>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</si>
  <si>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</si>
  <si>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</si>
  <si>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</si>
  <si>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</si>
  <si>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</si>
  <si>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</si>
  <si>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</si>
  <si>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</si>
  <si>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</si>
  <si>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</si>
  <si>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</si>
  <si>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</si>
  <si>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</si>
  <si>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</si>
  <si>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</si>
  <si>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</si>
  <si>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</si>
  <si>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</si>
  <si>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</si>
  <si>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</si>
  <si>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</si>
  <si>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</si>
  <si>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</si>
  <si>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</si>
  <si>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</si>
  <si>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</si>
  <si>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</si>
  <si>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</si>
  <si>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</si>
  <si>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</si>
  <si>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</si>
  <si>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</si>
  <si>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</si>
  <si>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</si>
  <si>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</si>
  <si>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</si>
  <si>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</si>
  <si>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</si>
  <si>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</si>
  <si>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</si>
  <si>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</si>
  <si>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</si>
  <si>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</si>
  <si>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</si>
  <si>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</si>
  <si>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</si>
  <si>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</si>
  <si>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</si>
  <si>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</si>
  <si>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</si>
  <si>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</si>
  <si>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</si>
  <si>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</si>
  <si>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</si>
  <si>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</si>
  <si>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</si>
  <si>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</si>
  <si>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</si>
  <si>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</si>
  <si>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</si>
  <si>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</si>
  <si>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</si>
  <si>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</si>
  <si>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</si>
  <si>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</si>
  <si>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</si>
  <si>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</si>
  <si>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</si>
  <si>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</si>
  <si>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</si>
  <si>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</si>
  <si>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</si>
  <si>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</si>
  <si>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</si>
  <si>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</si>
  <si>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</si>
  <si>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</si>
  <si>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</si>
  <si>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</si>
  <si>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</si>
  <si>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</si>
  <si>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</si>
  <si>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</si>
  <si>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</si>
  <si>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</si>
  <si>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</si>
  <si>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</si>
  <si>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</si>
  <si>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</si>
  <si>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</si>
  <si>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</si>
  <si>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</si>
  <si>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</si>
  <si>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</si>
  <si>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</si>
  <si>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</si>
  <si>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</si>
  <si>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</si>
  <si>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</si>
  <si>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</si>
  <si>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</si>
  <si>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</si>
  <si>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</si>
  <si>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</si>
  <si>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</si>
  <si>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</si>
  <si>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</si>
  <si>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</si>
  <si>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</si>
  <si>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</si>
  <si>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</si>
  <si>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</si>
  <si>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</si>
  <si>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</si>
  <si>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</si>
  <si>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</si>
  <si>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</si>
  <si>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</si>
  <si>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</si>
  <si>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</si>
  <si>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</si>
  <si>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</si>
  <si>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</si>
  <si>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</si>
  <si>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</si>
  <si>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</si>
  <si>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</si>
  <si>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</si>
  <si>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</si>
  <si>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</si>
  <si>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</si>
  <si>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</si>
  <si>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</si>
  <si>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</si>
  <si>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</si>
  <si>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</si>
  <si>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</si>
  <si>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</si>
  <si>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</si>
  <si>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</si>
  <si>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</si>
  <si>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</si>
  <si>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</si>
  <si>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</si>
  <si>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</si>
  <si>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</si>
  <si>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</si>
  <si>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</si>
  <si>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</si>
  <si>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</si>
  <si>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</si>
  <si>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</si>
  <si>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</si>
  <si>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</si>
  <si>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</si>
  <si>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</si>
  <si>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</si>
  <si>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</si>
  <si>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</si>
  <si>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</si>
  <si>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</si>
  <si>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</si>
  <si>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</si>
  <si>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</si>
  <si>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</si>
  <si>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</si>
  <si>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</si>
  <si>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</si>
  <si>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</si>
  <si>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</si>
  <si>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</si>
  <si>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</si>
  <si>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</si>
  <si>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</si>
  <si>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</si>
  <si>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</si>
  <si>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</si>
  <si>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</si>
  <si>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</si>
  <si>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</si>
  <si>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</si>
  <si>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</si>
  <si>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</si>
  <si>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</si>
  <si>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</si>
  <si>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</si>
  <si>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</si>
  <si>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</si>
  <si>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</si>
  <si>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</si>
  <si>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</si>
  <si>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</si>
  <si>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</si>
  <si>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</si>
  <si>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</si>
  <si>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</si>
  <si>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</si>
  <si>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</si>
  <si>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</si>
  <si>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</si>
  <si>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</si>
  <si>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</si>
  <si>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</si>
  <si>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</si>
  <si>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</si>
  <si>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</si>
  <si>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</si>
  <si>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</si>
  <si>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</si>
  <si>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</si>
  <si>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</si>
  <si>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</si>
  <si>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</si>
  <si>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</si>
  <si>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</si>
  <si>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</si>
  <si>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</si>
  <si>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</si>
  <si>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</si>
  <si>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</si>
  <si>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</si>
  <si>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</si>
  <si>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</si>
  <si>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</si>
  <si>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</si>
  <si>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</si>
  <si>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</si>
  <si>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</si>
  <si>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</si>
  <si>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</si>
  <si>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</si>
  <si>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</si>
  <si>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</si>
  <si>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</si>
  <si>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</si>
  <si>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</si>
  <si>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</si>
  <si>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</si>
  <si>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</si>
  <si>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</si>
  <si>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</si>
  <si>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</si>
  <si>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</si>
  <si>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</si>
  <si>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</si>
  <si>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</si>
  <si>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</si>
  <si>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</si>
  <si>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</si>
  <si>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</si>
  <si>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</si>
  <si>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</si>
  <si>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</si>
  <si>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</si>
  <si>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</si>
  <si>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</si>
  <si>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</si>
  <si>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</si>
  <si>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</si>
  <si>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</si>
  <si>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</si>
  <si>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</si>
  <si>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</si>
  <si>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</si>
  <si>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</si>
  <si>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</si>
  <si>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</si>
  <si>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</si>
  <si>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</si>
  <si>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</si>
  <si>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</si>
  <si>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</si>
  <si>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</si>
  <si>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</si>
  <si>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</si>
  <si>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</si>
  <si>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</si>
  <si>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</si>
  <si>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</si>
  <si>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</si>
  <si>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</si>
  <si>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</si>
  <si>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</si>
  <si>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</si>
  <si>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</si>
  <si>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</si>
  <si>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</si>
  <si>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</si>
  <si>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</si>
  <si>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</si>
  <si>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</si>
  <si>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</si>
  <si>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</si>
  <si>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</si>
  <si>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</si>
  <si>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</si>
  <si>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</si>
  <si>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</si>
  <si>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</si>
  <si>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</si>
  <si>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</si>
  <si>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</si>
  <si>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</si>
  <si>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</si>
  <si>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</si>
  <si>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</si>
  <si>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</si>
  <si>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</si>
  <si>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</si>
  <si>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</si>
  <si>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</si>
  <si>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</si>
  <si>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</si>
  <si>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</si>
  <si>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</si>
  <si>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</si>
  <si>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</si>
  <si>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</si>
  <si>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</si>
  <si>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</si>
  <si>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</si>
  <si>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</si>
  <si>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</si>
  <si>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</si>
  <si>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</si>
  <si>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</si>
  <si>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</si>
  <si>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</si>
  <si>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</si>
  <si>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</si>
  <si>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</si>
  <si>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</si>
  <si>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</si>
  <si>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</si>
  <si>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</si>
  <si>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</si>
  <si>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</si>
  <si>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</si>
  <si>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</si>
  <si>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</si>
  <si>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</si>
  <si>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</si>
  <si>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</si>
  <si>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</si>
  <si>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</si>
  <si>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</si>
  <si>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</si>
  <si>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</si>
  <si>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</si>
  <si>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</si>
  <si>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</si>
  <si>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</si>
  <si>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</si>
  <si>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</si>
  <si>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</si>
  <si>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</si>
  <si>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</si>
  <si>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</si>
  <si>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</si>
  <si>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</si>
  <si>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</si>
  <si>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</si>
  <si>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</si>
  <si>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</si>
  <si>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</si>
  <si>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</si>
  <si>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</si>
  <si>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</si>
  <si>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</si>
  <si>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</si>
  <si>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</si>
  <si>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</si>
  <si>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</si>
  <si>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</si>
  <si>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</si>
  <si>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</si>
  <si>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</si>
  <si>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</si>
  <si>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</si>
  <si>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</si>
  <si>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</si>
  <si>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</si>
  <si>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</si>
  <si>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</si>
  <si>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</si>
  <si>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</si>
  <si>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</si>
  <si>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</si>
  <si>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</si>
  <si>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</si>
  <si>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</si>
  <si>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</si>
  <si>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</si>
  <si>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</si>
  <si>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</si>
  <si>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</si>
  <si>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</si>
  <si>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</si>
  <si>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</si>
  <si>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</si>
  <si>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</si>
  <si>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</si>
  <si>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</si>
  <si>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</si>
  <si>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</si>
  <si>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</si>
  <si>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</si>
  <si>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</si>
  <si>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</si>
  <si>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</si>
  <si>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</si>
  <si>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</si>
  <si>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</si>
  <si>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</si>
  <si>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</si>
  <si>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</si>
  <si>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</si>
  <si>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</si>
  <si>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</si>
  <si>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</si>
  <si>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</si>
  <si>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</si>
  <si>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</si>
  <si>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</si>
  <si>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</si>
  <si>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</si>
  <si>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</si>
  <si>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</si>
  <si>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</si>
  <si>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</si>
  <si>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</si>
  <si>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</si>
  <si>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</si>
  <si>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</si>
  <si>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</si>
  <si>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</si>
  <si>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</si>
  <si>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</si>
  <si>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</si>
  <si>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</si>
  <si>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</si>
  <si>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</si>
  <si>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</si>
  <si>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</si>
  <si>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</si>
  <si>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</si>
  <si>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</si>
  <si>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</si>
  <si>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</si>
  <si>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</si>
  <si>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</si>
  <si>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</si>
  <si>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</si>
  <si>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</si>
  <si>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</si>
  <si>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</si>
  <si>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</si>
  <si>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</si>
  <si>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</si>
  <si>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</si>
  <si>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</si>
  <si>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</si>
  <si>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</si>
  <si>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</si>
  <si>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</si>
  <si>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</si>
  <si>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</si>
  <si>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</si>
  <si>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</si>
  <si>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</si>
  <si>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</si>
  <si>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</si>
  <si>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</si>
  <si>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</si>
  <si>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</si>
  <si>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</si>
  <si>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</si>
  <si>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</si>
  <si>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</si>
  <si>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</si>
  <si>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</si>
  <si>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</si>
  <si>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</si>
  <si>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</si>
  <si>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</si>
  <si>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</si>
  <si>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</si>
  <si>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</si>
  <si>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</si>
  <si>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</si>
  <si>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</si>
  <si>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</si>
  <si>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</si>
  <si>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</si>
  <si>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</si>
  <si>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</si>
  <si>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</si>
  <si>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</si>
  <si>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</si>
  <si>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</si>
  <si>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</si>
  <si>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</si>
  <si>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</si>
  <si>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</si>
  <si>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</si>
  <si>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</si>
  <si>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</si>
  <si>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</si>
  <si>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</si>
  <si>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</si>
  <si>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</si>
  <si>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</si>
  <si>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</si>
  <si>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</si>
  <si>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</si>
  <si>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</si>
  <si>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</si>
  <si>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</si>
  <si>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</si>
  <si>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</si>
  <si>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</si>
  <si>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</si>
  <si>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</si>
  <si>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</si>
  <si>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</si>
  <si>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</si>
  <si>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</si>
  <si>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</si>
  <si>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</si>
  <si>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</si>
  <si>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</si>
  <si>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</si>
  <si>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</si>
  <si>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</si>
  <si>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</si>
  <si>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</si>
  <si>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</si>
  <si>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</si>
  <si>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</si>
  <si>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</si>
  <si>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</si>
  <si>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</si>
  <si>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</si>
  <si>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</si>
  <si>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</si>
  <si>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</si>
  <si>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</si>
  <si>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</si>
  <si>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</si>
  <si>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</si>
  <si>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</si>
  <si>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</si>
  <si>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</si>
  <si>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</si>
  <si>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</si>
  <si>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</si>
  <si>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</si>
  <si>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</si>
  <si>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</si>
  <si>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</si>
  <si>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</si>
  <si>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</si>
  <si>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</si>
  <si>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</si>
  <si>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</si>
  <si>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</si>
  <si>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</si>
  <si>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</si>
  <si>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</si>
  <si>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</si>
  <si>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</si>
  <si>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</si>
  <si>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</si>
  <si>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</si>
  <si>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</si>
  <si>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</si>
  <si>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</si>
  <si>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</si>
  <si>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</si>
  <si>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</si>
  <si>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</si>
  <si>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</si>
  <si>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</si>
  <si>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</si>
  <si>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</si>
  <si>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</si>
  <si>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</si>
  <si>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</si>
  <si>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</si>
  <si>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</si>
  <si>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</si>
  <si>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</si>
  <si>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</si>
  <si>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</si>
  <si>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</si>
  <si>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</si>
  <si>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</si>
  <si>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</si>
  <si>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</si>
  <si>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</si>
  <si>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</si>
  <si>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</si>
  <si>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</si>
  <si>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</si>
  <si>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</si>
  <si>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</si>
  <si>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</si>
  <si>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</si>
  <si>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</si>
  <si>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</si>
  <si>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</si>
  <si>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</si>
  <si>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</si>
  <si>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</si>
  <si>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</si>
  <si>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</si>
  <si>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</si>
  <si>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</si>
  <si>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</si>
  <si>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</si>
  <si>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</si>
  <si>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</si>
  <si>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</si>
  <si>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</si>
  <si>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</si>
  <si>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</si>
  <si>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</si>
  <si>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</si>
  <si>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</si>
  <si>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</si>
  <si>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</si>
  <si>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</si>
  <si>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</si>
  <si>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</si>
  <si>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</si>
  <si>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</si>
  <si>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</si>
  <si>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</si>
  <si>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</si>
  <si>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</si>
  <si>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</si>
  <si>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</si>
  <si>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</si>
  <si>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</si>
  <si>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</si>
  <si>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</si>
  <si>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</si>
  <si>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</si>
  <si>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</si>
  <si>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</si>
  <si>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</si>
  <si>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</si>
  <si>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</si>
  <si>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</si>
  <si>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</si>
  <si>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</si>
  <si>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</si>
  <si>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</si>
  <si>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</si>
  <si>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</si>
  <si>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</si>
  <si>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</si>
  <si>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</si>
  <si>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</si>
  <si>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</si>
  <si>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</si>
  <si>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</si>
  <si>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</si>
  <si>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</si>
  <si>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</si>
  <si>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</si>
  <si>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</si>
  <si>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</si>
  <si>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</si>
  <si>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</si>
  <si>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</si>
  <si>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</si>
  <si>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</si>
  <si>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</si>
  <si>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</si>
  <si>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</si>
  <si>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</si>
  <si>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</si>
  <si>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</si>
  <si>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</si>
  <si>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</si>
  <si>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</si>
  <si>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</si>
  <si>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</si>
  <si>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</si>
  <si>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</si>
  <si>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</si>
  <si>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</si>
  <si>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</si>
  <si>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</si>
  <si>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</si>
  <si>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</si>
  <si>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</si>
  <si>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</si>
  <si>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</si>
  <si>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</si>
  <si>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</si>
  <si>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</si>
  <si>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</si>
  <si>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</si>
  <si>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</si>
  <si>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</si>
  <si>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</si>
  <si>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</si>
  <si>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</si>
  <si>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</si>
  <si>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</si>
  <si>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</si>
  <si>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</si>
  <si>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</si>
  <si>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</si>
  <si>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</si>
  <si>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</si>
  <si>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</si>
  <si>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</si>
  <si>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</si>
  <si>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</si>
  <si>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</si>
  <si>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</si>
  <si>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</si>
  <si>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</si>
  <si>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</si>
  <si>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</si>
  <si>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</si>
  <si>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</si>
  <si>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</si>
  <si>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</si>
  <si>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</si>
  <si>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</si>
  <si>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</si>
  <si>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</si>
  <si>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</si>
  <si>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</si>
  <si>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</si>
  <si>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</si>
  <si>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</si>
  <si>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</si>
  <si>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</si>
  <si>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</si>
  <si>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</si>
  <si>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</si>
  <si>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</si>
  <si>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</si>
  <si>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</si>
  <si>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</si>
  <si>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</si>
  <si>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</si>
  <si>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</si>
  <si>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</si>
  <si>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</si>
  <si>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</si>
  <si>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</si>
  <si>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</si>
  <si>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</si>
  <si>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</si>
  <si>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</si>
  <si>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</si>
  <si>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</si>
  <si>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</si>
  <si>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</si>
  <si>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</si>
  <si>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</si>
  <si>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</si>
  <si>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</si>
  <si>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</si>
  <si>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</si>
  <si>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</si>
  <si>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</si>
  <si>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</si>
  <si>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</si>
  <si>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</si>
  <si>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</si>
  <si>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</si>
  <si>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</si>
  <si>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</si>
  <si>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</si>
  <si>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</si>
  <si>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</si>
  <si>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</si>
  <si>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</si>
  <si>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</si>
  <si>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</si>
  <si>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</si>
  <si>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</si>
  <si>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</si>
  <si>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</si>
  <si>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</si>
  <si>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</si>
  <si>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</si>
  <si>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</si>
  <si>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</si>
  <si>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</si>
  <si>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</si>
  <si>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</si>
  <si>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</si>
  <si>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</si>
  <si>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</si>
  <si>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</si>
  <si>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</si>
  <si>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</si>
  <si>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</si>
  <si>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</si>
  <si>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</si>
  <si>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</si>
  <si>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</si>
  <si>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</si>
  <si>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</si>
  <si>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</si>
  <si>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</si>
  <si>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</si>
  <si>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</si>
  <si>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</si>
  <si>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</si>
  <si>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</si>
  <si>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</si>
  <si>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</si>
  <si>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</si>
  <si>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</si>
  <si>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</si>
  <si>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</si>
  <si>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</si>
  <si>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</si>
  <si>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</si>
  <si>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</si>
  <si>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</si>
  <si>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</si>
  <si>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</si>
  <si>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</si>
  <si>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</si>
  <si>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</si>
  <si>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</si>
  <si>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</si>
  <si>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</si>
  <si>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</si>
  <si>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</si>
  <si>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</si>
  <si>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</si>
  <si>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</si>
  <si>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</si>
  <si>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</si>
  <si>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</si>
  <si>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</si>
  <si>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</si>
  <si>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</si>
  <si>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</si>
  <si>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</si>
  <si>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</si>
  <si>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</si>
  <si>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</si>
  <si>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</si>
  <si>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</si>
  <si>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</si>
  <si>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</si>
  <si>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</si>
  <si>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</si>
  <si>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</si>
  <si>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</si>
  <si>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</si>
  <si>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</si>
  <si>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</si>
  <si>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</si>
  <si>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</si>
  <si>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</si>
  <si>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</si>
  <si>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</si>
  <si>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</si>
  <si>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</si>
  <si>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</si>
  <si>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</si>
  <si>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</si>
  <si>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</si>
  <si>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</si>
  <si>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</si>
  <si>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</si>
  <si>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</si>
  <si>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</si>
  <si>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</si>
  <si>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</si>
  <si>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</si>
  <si>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</si>
  <si>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</si>
  <si>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</si>
  <si>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</si>
  <si>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</si>
  <si>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</si>
  <si>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</si>
  <si>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</si>
  <si>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</si>
  <si>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</si>
  <si>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</si>
  <si>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</si>
  <si>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</si>
  <si>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</si>
  <si>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</si>
  <si>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</si>
  <si>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</si>
  <si>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</si>
  <si>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</si>
  <si>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</si>
  <si>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</si>
  <si>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</si>
  <si>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</si>
  <si>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</si>
  <si>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</si>
  <si>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</si>
  <si>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</si>
  <si>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</si>
  <si>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</si>
  <si>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</si>
  <si>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</si>
  <si>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</si>
  <si>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</si>
  <si>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</si>
  <si>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</si>
  <si>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</si>
  <si>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</si>
  <si>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</si>
  <si>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</si>
  <si>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</si>
  <si>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</si>
  <si>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</si>
  <si>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</si>
  <si>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</si>
  <si>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</si>
  <si>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</si>
  <si>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</si>
  <si>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</si>
  <si>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</si>
  <si>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</si>
  <si>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</si>
  <si>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</si>
  <si>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</si>
  <si>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</si>
  <si>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</si>
  <si>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</si>
  <si>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</si>
  <si>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</si>
  <si>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</si>
  <si>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</si>
  <si>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</si>
  <si>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</si>
  <si>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</si>
  <si>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</si>
  <si>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</si>
  <si>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</si>
  <si>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</si>
  <si>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</si>
  <si>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</si>
  <si>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</si>
  <si>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</si>
  <si>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</si>
  <si>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</si>
  <si>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</si>
  <si>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</si>
  <si>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</si>
  <si>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</si>
  <si>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</si>
  <si>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</si>
  <si>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</si>
  <si>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</si>
  <si>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</si>
  <si>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</si>
  <si>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</si>
  <si>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</si>
  <si>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</si>
  <si>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</si>
  <si>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</si>
  <si>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</si>
  <si>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</si>
  <si>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</si>
  <si>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</si>
  <si>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</si>
  <si>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</si>
  <si>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</si>
  <si>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</si>
  <si>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</si>
  <si>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</si>
  <si>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</si>
  <si>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</si>
  <si>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</si>
  <si>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</si>
  <si>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</si>
  <si>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</si>
  <si>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</si>
  <si>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</si>
  <si>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</si>
  <si>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</si>
  <si>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</si>
  <si>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</si>
  <si>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</si>
  <si>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</si>
  <si>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</si>
  <si>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</si>
  <si>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</si>
  <si>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</si>
  <si>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</si>
  <si>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</si>
  <si>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</si>
  <si>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</si>
  <si>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</si>
  <si>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</si>
  <si>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</si>
  <si>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</si>
  <si>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</si>
  <si>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</si>
  <si>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</si>
  <si>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</si>
  <si>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</si>
  <si>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</si>
  <si>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</si>
  <si>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</si>
  <si>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</si>
  <si>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</si>
  <si>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</si>
  <si>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</si>
  <si>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</si>
  <si>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</si>
  <si>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</si>
  <si>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</si>
  <si>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</si>
  <si>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</si>
  <si>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</si>
  <si>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</si>
  <si>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</si>
  <si>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</si>
  <si>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</si>
  <si>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</si>
  <si>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</si>
  <si>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</si>
  <si>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</si>
  <si>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</si>
  <si>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</si>
  <si>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</si>
  <si>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</si>
  <si>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</si>
  <si>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</si>
  <si>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</si>
  <si>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</si>
  <si>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</si>
  <si>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</si>
  <si>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</si>
  <si>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</si>
  <si>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</si>
  <si>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</si>
  <si>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</si>
  <si>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</si>
  <si>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</si>
  <si>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</si>
  <si>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</si>
  <si>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</si>
  <si>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</si>
  <si>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</si>
  <si>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</si>
  <si>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</si>
  <si>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</si>
  <si>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</si>
  <si>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</si>
  <si>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</si>
  <si>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</si>
  <si>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</si>
  <si>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</si>
  <si>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</si>
  <si>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</si>
  <si>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</si>
  <si>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</si>
  <si>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</si>
  <si>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</si>
  <si>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</si>
  <si>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</si>
  <si>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</si>
  <si>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</si>
  <si>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</si>
  <si>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</si>
  <si>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</si>
  <si>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</si>
  <si>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</si>
  <si>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</si>
  <si>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</si>
  <si>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</si>
  <si>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</si>
  <si>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</si>
  <si>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</si>
  <si>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</si>
  <si>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</si>
  <si>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</si>
  <si>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</si>
  <si>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</si>
  <si>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</si>
  <si>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</si>
  <si>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</si>
  <si>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</si>
  <si>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</si>
  <si>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</si>
  <si>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</si>
  <si>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</si>
  <si>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</si>
  <si>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</si>
  <si>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</si>
  <si>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</si>
  <si>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</si>
  <si>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</si>
  <si>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</si>
  <si>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</si>
  <si>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</si>
  <si>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</si>
  <si>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</si>
  <si>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</si>
  <si>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</si>
  <si>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</si>
  <si>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</si>
  <si>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</si>
  <si>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</si>
  <si>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</si>
  <si>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</si>
  <si>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</si>
  <si>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</si>
  <si>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</si>
  <si>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</si>
  <si>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</si>
  <si>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</si>
  <si>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</si>
  <si>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</si>
  <si>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</si>
  <si>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</si>
  <si>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</si>
  <si>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</si>
  <si>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</si>
  <si>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</si>
  <si>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</si>
  <si>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</si>
  <si>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</si>
  <si>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</si>
  <si>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</si>
  <si>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</si>
  <si>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</si>
  <si>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</si>
  <si>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</si>
  <si>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</si>
  <si>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</si>
  <si>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</si>
  <si>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</si>
  <si>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</si>
  <si>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</si>
  <si>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</si>
  <si>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</si>
  <si>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</si>
  <si>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</si>
  <si>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</si>
  <si>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</si>
  <si>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</si>
  <si>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</si>
  <si>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</si>
  <si>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</si>
  <si>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</si>
  <si>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</si>
  <si>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</si>
  <si>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</si>
  <si>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</si>
  <si>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</si>
  <si>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</si>
  <si>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</si>
  <si>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</si>
  <si>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</si>
  <si>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</si>
  <si>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</si>
  <si>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</si>
  <si>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</si>
  <si>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</si>
  <si>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</si>
  <si>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</si>
  <si>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</si>
  <si>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</si>
  <si>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</si>
  <si>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</si>
  <si>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</si>
  <si>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</si>
  <si>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</si>
  <si>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</si>
  <si>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</si>
  <si>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</si>
  <si>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</si>
  <si>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</si>
  <si>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</si>
  <si>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</si>
  <si>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</si>
  <si>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</si>
  <si>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</si>
  <si>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</si>
  <si>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</si>
  <si>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</si>
  <si>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</si>
  <si>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</si>
  <si>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</si>
  <si>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</si>
  <si>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</si>
  <si>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</si>
  <si>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</si>
  <si>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</si>
  <si>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</si>
  <si>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</si>
  <si>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</si>
  <si>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</si>
  <si>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</si>
  <si>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</si>
  <si>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</si>
  <si>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</si>
  <si>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</si>
  <si>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</si>
  <si>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</si>
  <si>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</si>
  <si>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</si>
  <si>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</si>
  <si>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</si>
  <si>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</si>
  <si>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</si>
  <si>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</si>
  <si>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</si>
  <si>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</si>
  <si>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</si>
  <si>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</si>
  <si>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</si>
  <si>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</si>
  <si>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</si>
  <si>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</si>
  <si>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</si>
  <si>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</si>
  <si>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</si>
  <si>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</si>
  <si>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</si>
  <si>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</si>
  <si>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</si>
  <si>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</si>
  <si>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</si>
  <si>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</si>
  <si>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</si>
  <si>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</si>
  <si>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</si>
  <si>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</si>
  <si>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</si>
  <si>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</si>
  <si>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</si>
  <si>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</si>
  <si>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</si>
  <si>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</si>
  <si>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</si>
  <si>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</si>
  <si>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</si>
  <si>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</si>
  <si>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</si>
  <si>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</si>
  <si>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</si>
  <si>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</si>
  <si>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</si>
  <si>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</si>
  <si>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</si>
  <si>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</si>
  <si>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</si>
  <si>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</si>
  <si>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</si>
  <si>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</si>
  <si>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</si>
  <si>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QZ/834115/1119/AB</t>
  </si>
  <si>
    <t>QZ/834083/1119/AB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</si>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</sst>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9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1" fillId="20" borderId="0" xfId="0" applyNumberFormat="1" applyFont="1" applyFill="1" applyProtection="1"/>
    <xf numFmtId="0" fontId="9" fillId="17" borderId="0" xfId="0" applyFont="1" applyFill="1" applyAlignment="1" applyProtection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8" totalsRowShown="0" headerRowDxfId="78" dataDxfId="77">
  <autoFilter ref="A3:J8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14" dataDxfId="12" headerRowBorderDxfId="13" tableBorderDxfId="11" totalsRowBorderDxfId="10" headerRowCellStyle="Check Cell">
  <autoFilter ref="A16:J76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19" t="s">
        <v>1272</v>
      </c>
      <c r="B2" s="319"/>
      <c r="C2" s="319"/>
      <c r="D2" s="319"/>
      <c r="E2" s="319"/>
      <c r="F2" s="319"/>
      <c r="G2" s="319"/>
      <c r="H2" s="319"/>
      <c r="I2" s="319"/>
      <c r="J2" s="319"/>
      <c r="K2" s="319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20">
        <v>1303</v>
      </c>
      <c r="B1177" s="322" t="s">
        <v>1507</v>
      </c>
      <c r="C1177" s="45" t="s">
        <v>1581</v>
      </c>
      <c r="D1177" s="324" t="s">
        <v>1580</v>
      </c>
      <c r="E1177" s="10"/>
      <c r="F1177" s="326" t="s">
        <v>1583</v>
      </c>
      <c r="G1177" s="324" t="s">
        <v>1179</v>
      </c>
      <c r="H1177" s="328">
        <v>42318</v>
      </c>
      <c r="I1177" s="324" t="s">
        <v>1181</v>
      </c>
      <c r="J1177" s="328">
        <v>42318</v>
      </c>
      <c r="K1177" s="43" t="s">
        <v>1584</v>
      </c>
    </row>
    <row r="1178" spans="1:11" x14ac:dyDescent="0.2">
      <c r="A1178" s="321"/>
      <c r="B1178" s="323"/>
      <c r="C1178" s="45" t="s">
        <v>1582</v>
      </c>
      <c r="D1178" s="325"/>
      <c r="E1178" s="10"/>
      <c r="F1178" s="327"/>
      <c r="G1178" s="325"/>
      <c r="H1178" s="329"/>
      <c r="I1178" s="325"/>
      <c r="J1178" s="329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20">
        <v>1306</v>
      </c>
      <c r="B1187" s="322" t="s">
        <v>257</v>
      </c>
      <c r="C1187" s="45" t="s">
        <v>1599</v>
      </c>
      <c r="D1187" s="324" t="s">
        <v>1601</v>
      </c>
      <c r="E1187" s="10"/>
      <c r="F1187" s="324" t="s">
        <v>33</v>
      </c>
      <c r="G1187" s="324" t="s">
        <v>1202</v>
      </c>
      <c r="H1187" s="328">
        <v>42388</v>
      </c>
      <c r="I1187" s="324" t="s">
        <v>1368</v>
      </c>
      <c r="J1187" s="324" t="s">
        <v>1602</v>
      </c>
      <c r="K1187" s="322" t="s">
        <v>1603</v>
      </c>
    </row>
    <row r="1188" spans="1:11" x14ac:dyDescent="0.2">
      <c r="A1188" s="321"/>
      <c r="B1188" s="323"/>
      <c r="C1188" s="80" t="s">
        <v>1600</v>
      </c>
      <c r="D1188" s="325"/>
      <c r="E1188" s="10"/>
      <c r="F1188" s="325"/>
      <c r="G1188" s="325"/>
      <c r="H1188" s="329"/>
      <c r="I1188" s="325"/>
      <c r="J1188" s="325"/>
      <c r="K1188" s="323"/>
    </row>
    <row r="1189" spans="1:11" x14ac:dyDescent="0.2">
      <c r="A1189" s="320">
        <v>1307</v>
      </c>
      <c r="B1189" s="322" t="s">
        <v>257</v>
      </c>
      <c r="C1189" s="45" t="s">
        <v>1604</v>
      </c>
      <c r="D1189" s="324" t="s">
        <v>1601</v>
      </c>
      <c r="E1189" s="10"/>
      <c r="F1189" s="324" t="s">
        <v>33</v>
      </c>
      <c r="G1189" s="324" t="s">
        <v>1202</v>
      </c>
      <c r="H1189" s="328">
        <v>42388</v>
      </c>
      <c r="I1189" s="324" t="s">
        <v>1368</v>
      </c>
      <c r="J1189" s="324" t="s">
        <v>1602</v>
      </c>
      <c r="K1189" s="322" t="s">
        <v>1606</v>
      </c>
    </row>
    <row r="1190" spans="1:11" x14ac:dyDescent="0.2">
      <c r="A1190" s="321"/>
      <c r="B1190" s="323"/>
      <c r="C1190" s="80" t="s">
        <v>1605</v>
      </c>
      <c r="D1190" s="325"/>
      <c r="E1190" s="10"/>
      <c r="F1190" s="325"/>
      <c r="G1190" s="325"/>
      <c r="H1190" s="329"/>
      <c r="I1190" s="325"/>
      <c r="J1190" s="325"/>
      <c r="K1190" s="323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zoomScaleNormal="100" workbookViewId="0">
      <pane ySplit="3" topLeftCell="A4" activePane="bottomLeft" state="frozen"/>
      <selection pane="bottomLeft" activeCell="F8" sqref="F8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30" t="s">
        <v>1651</v>
      </c>
      <c r="B1" s="330"/>
      <c r="C1" s="330"/>
      <c r="D1" s="330"/>
      <c r="E1" s="330"/>
      <c r="F1" s="330"/>
      <c r="G1" s="330"/>
      <c r="H1" s="330"/>
      <c r="I1" s="330"/>
      <c r="J1" s="157"/>
      <c r="K1" s="236"/>
      <c r="L1" s="154"/>
      <c r="M1" s="332" t="s">
        <v>1653</v>
      </c>
      <c r="N1" s="332"/>
      <c r="O1" s="332"/>
      <c r="P1" s="332"/>
      <c r="Q1" s="332"/>
      <c r="R1" s="332"/>
      <c r="S1" s="332"/>
      <c r="T1" s="332"/>
      <c r="U1" s="332"/>
      <c r="V1" s="332"/>
      <c r="W1" s="332"/>
      <c r="X1" s="332"/>
      <c r="Y1" s="333" t="s">
        <v>1671</v>
      </c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4" t="s">
        <v>1665</v>
      </c>
      <c r="AN1" s="334"/>
      <c r="AO1" s="334"/>
      <c r="AP1" s="334"/>
      <c r="AQ1" s="334"/>
      <c r="AR1" s="334"/>
      <c r="AS1" s="334"/>
      <c r="AT1" s="334"/>
      <c r="AU1" s="334"/>
      <c r="AV1" s="334"/>
      <c r="AW1" s="334"/>
    </row>
    <row r="2" spans="1:49" x14ac:dyDescent="0.2">
      <c r="A2" s="331"/>
      <c r="B2" s="331"/>
      <c r="C2" s="331"/>
      <c r="D2" s="331"/>
      <c r="E2" s="331"/>
      <c r="F2" s="331"/>
      <c r="G2" s="331"/>
      <c r="H2" s="331"/>
      <c r="I2" s="331"/>
      <c r="J2" s="155"/>
      <c r="K2" s="155"/>
      <c r="L2" s="155"/>
      <c r="M2" s="332"/>
      <c r="N2" s="332"/>
      <c r="O2" s="332"/>
      <c r="P2" s="332"/>
      <c r="Q2" s="332"/>
      <c r="R2" s="332"/>
      <c r="S2" s="332"/>
      <c r="T2" s="332"/>
      <c r="U2" s="332"/>
      <c r="V2" s="332"/>
      <c r="W2" s="332"/>
      <c r="X2" s="332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R14"/>
      <c r="AB14"/>
    </row>
    <row r="15" spans="1:49" x14ac:dyDescent="0.2">
      <c r="A15"/>
      <c r="G15"/>
      <c r="H15"/>
      <c r="R15"/>
    </row>
    <row r="16" spans="1:49" x14ac:dyDescent="0.2">
      <c r="A16"/>
      <c r="G16"/>
      <c r="H16"/>
      <c r="R16"/>
    </row>
    <row r="17" spans="1:18" x14ac:dyDescent="0.2">
      <c r="A17"/>
      <c r="G17"/>
      <c r="H17"/>
      <c r="R17"/>
    </row>
    <row r="18" spans="1:18" x14ac:dyDescent="0.2">
      <c r="G18"/>
    </row>
    <row r="19" spans="1:18" x14ac:dyDescent="0.2">
      <c r="G19"/>
    </row>
    <row r="20" spans="1:18" x14ac:dyDescent="0.2">
      <c r="G20"/>
    </row>
    <row r="21" spans="1:18" x14ac:dyDescent="0.2">
      <c r="G21"/>
    </row>
    <row r="22" spans="1:18" x14ac:dyDescent="0.2">
      <c r="G22"/>
    </row>
    <row r="23" spans="1:18" x14ac:dyDescent="0.2">
      <c r="G23"/>
    </row>
    <row r="24" spans="1:18" x14ac:dyDescent="0.2">
      <c r="G24"/>
    </row>
    <row r="25" spans="1:18" x14ac:dyDescent="0.2">
      <c r="G25"/>
    </row>
    <row r="26" spans="1:18" x14ac:dyDescent="0.2">
      <c r="G26"/>
    </row>
    <row r="27" spans="1:18" x14ac:dyDescent="0.2">
      <c r="G27"/>
    </row>
    <row r="28" spans="1:18" x14ac:dyDescent="0.2">
      <c r="G28"/>
    </row>
    <row r="29" spans="1:18" x14ac:dyDescent="0.2">
      <c r="G29"/>
    </row>
    <row r="30" spans="1:18" x14ac:dyDescent="0.2">
      <c r="G30"/>
    </row>
    <row r="31" spans="1:18" x14ac:dyDescent="0.2">
      <c r="G31"/>
    </row>
    <row r="32" spans="1:18" x14ac:dyDescent="0.2">
      <c r="G32"/>
    </row>
    <row r="33" spans="7:49" x14ac:dyDescent="0.2">
      <c r="G33"/>
    </row>
    <row r="34" spans="7:49" x14ac:dyDescent="0.2">
      <c r="G34"/>
    </row>
    <row r="35" spans="7:49" x14ac:dyDescent="0.2">
      <c r="G35"/>
    </row>
    <row r="36" spans="7:49" x14ac:dyDescent="0.2">
      <c r="G36"/>
    </row>
    <row r="37" spans="7:49" x14ac:dyDescent="0.2">
      <c r="G37"/>
    </row>
    <row r="38" spans="7:49" x14ac:dyDescent="0.2">
      <c r="G38"/>
      <c r="M38" s="296"/>
      <c r="N38" s="34"/>
      <c r="O38" s="34"/>
      <c r="P38" s="34"/>
      <c r="Q38" s="34"/>
      <c r="R38" s="227"/>
      <c r="S38" s="34"/>
      <c r="T38" s="296"/>
      <c r="U38" s="34"/>
      <c r="V38" s="34"/>
      <c r="W38" s="34"/>
      <c r="X38" s="34"/>
    </row>
    <row r="39" spans="7:49" x14ac:dyDescent="0.2">
      <c r="M39" s="296"/>
      <c r="N39" s="34"/>
      <c r="O39" s="34"/>
      <c r="P39" s="34"/>
      <c r="Q39" s="34"/>
      <c r="R39" s="227"/>
      <c r="S39" s="34"/>
      <c r="T39" s="296"/>
      <c r="U39" s="34"/>
      <c r="V39" s="34"/>
      <c r="W39" s="34"/>
      <c r="X39" s="34"/>
    </row>
    <row r="40" spans="7:49" x14ac:dyDescent="0.2">
      <c r="M40" s="296"/>
      <c r="N40" s="34"/>
      <c r="O40" s="34"/>
      <c r="P40" s="34"/>
      <c r="Q40" s="34"/>
      <c r="R40" s="227"/>
      <c r="S40" s="34"/>
      <c r="T40" s="296"/>
      <c r="U40" s="34"/>
      <c r="V40" s="34"/>
      <c r="W40" s="34"/>
      <c r="X40" s="34"/>
    </row>
    <row r="41" spans="7:49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49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49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49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49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49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49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49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  <c r="AM48" s="34"/>
      <c r="AO48" s="34"/>
      <c r="AP48" s="34"/>
      <c r="AQ48" s="34"/>
      <c r="AR48" s="34"/>
      <c r="AS48" s="34"/>
      <c r="AT48" s="296"/>
      <c r="AU48" s="34"/>
      <c r="AV48" s="34"/>
      <c r="AW48" s="34"/>
    </row>
    <row r="49" spans="23:49" x14ac:dyDescent="0.2">
      <c r="AM49" s="34"/>
      <c r="AN49" s="34"/>
      <c r="AO49" s="34"/>
      <c r="AP49" s="34"/>
      <c r="AQ49" s="34"/>
      <c r="AR49" s="34"/>
      <c r="AS49" s="34"/>
      <c r="AT49" s="296"/>
      <c r="AU49" s="34"/>
      <c r="AV49" s="34"/>
      <c r="AW49" s="34"/>
    </row>
    <row r="50" spans="23:49" x14ac:dyDescent="0.2">
      <c r="AM50" s="34"/>
      <c r="AN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23:49" x14ac:dyDescent="0.2">
      <c r="Y51" s="34"/>
      <c r="Z51" s="296"/>
      <c r="AA51" s="34"/>
      <c r="AB51" s="268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2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2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23:49" x14ac:dyDescent="0.2"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2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2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23:49" x14ac:dyDescent="0.2">
      <c r="W57" s="213"/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23:49" x14ac:dyDescent="0.2">
      <c r="W58" s="213"/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23:49" x14ac:dyDescent="0.2">
      <c r="W59" s="213"/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23:49" x14ac:dyDescent="0.2">
      <c r="W60" s="213"/>
    </row>
    <row r="61" spans="23:49" x14ac:dyDescent="0.2">
      <c r="W61" s="213"/>
    </row>
    <row r="62" spans="23:49" x14ac:dyDescent="0.2">
      <c r="W62" s="213"/>
    </row>
    <row r="63" spans="23:49" x14ac:dyDescent="0.2">
      <c r="W63" s="213"/>
    </row>
    <row r="64" spans="2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85" spans="18:18" x14ac:dyDescent="0.2">
      <c r="R85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1:AF51 I107:I119 H107:H120 AE3 U3:V3 I3 AE5:AF7 U5:V7 I5:J10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F3 AE4:AF4">
      <formula1>"UNTESTED,FAIL"</formula1>
    </dataValidation>
    <dataValidation type="list" allowBlank="1" showInputMessage="1" showErrorMessage="1" sqref="AE48:AE49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5" t="s">
        <v>1610</v>
      </c>
      <c r="B1" s="346"/>
      <c r="C1" s="346"/>
      <c r="D1" s="346"/>
      <c r="E1" s="346"/>
      <c r="F1" s="346"/>
      <c r="G1" s="346"/>
      <c r="H1" s="347"/>
      <c r="I1" s="351" t="s">
        <v>1619</v>
      </c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351"/>
      <c r="AA1" s="351"/>
      <c r="AB1" s="351"/>
      <c r="AC1" s="351"/>
      <c r="AD1" s="351"/>
      <c r="AE1" s="351"/>
      <c r="AF1" s="351"/>
      <c r="AG1" s="351"/>
      <c r="AH1" s="351"/>
      <c r="AI1" s="351"/>
      <c r="AJ1" s="352" t="s">
        <v>1632</v>
      </c>
      <c r="AK1" s="353"/>
      <c r="AL1" s="353"/>
      <c r="AM1" s="354"/>
      <c r="AN1" s="354"/>
      <c r="AO1" s="354"/>
      <c r="AP1" s="354"/>
      <c r="AQ1" s="355"/>
      <c r="AR1" s="359" t="s">
        <v>1634</v>
      </c>
      <c r="AS1" s="360"/>
      <c r="AT1" s="360"/>
      <c r="AU1" s="360"/>
      <c r="AV1" s="360"/>
      <c r="AW1" s="360"/>
      <c r="AX1" s="360"/>
      <c r="AY1" s="360"/>
      <c r="AZ1" s="360"/>
      <c r="BA1" s="360"/>
      <c r="BB1" s="361"/>
      <c r="BC1" s="335" t="s">
        <v>1612</v>
      </c>
      <c r="BD1" s="335"/>
      <c r="BE1" s="335"/>
    </row>
    <row r="2" spans="1:57" ht="25.5" customHeight="1" x14ac:dyDescent="0.2">
      <c r="A2" s="348"/>
      <c r="B2" s="349"/>
      <c r="C2" s="349"/>
      <c r="D2" s="349"/>
      <c r="E2" s="349"/>
      <c r="F2" s="349"/>
      <c r="G2" s="349"/>
      <c r="H2" s="350"/>
      <c r="I2" s="339" t="s">
        <v>1617</v>
      </c>
      <c r="J2" s="340"/>
      <c r="K2" s="340"/>
      <c r="L2" s="340"/>
      <c r="M2" s="340"/>
      <c r="N2" s="340"/>
      <c r="O2" s="341"/>
      <c r="P2" s="342" t="s">
        <v>1616</v>
      </c>
      <c r="Q2" s="343"/>
      <c r="R2" s="343"/>
      <c r="S2" s="343"/>
      <c r="T2" s="343"/>
      <c r="U2" s="343"/>
      <c r="V2" s="344"/>
      <c r="W2" s="336" t="s">
        <v>1635</v>
      </c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8"/>
      <c r="AJ2" s="356"/>
      <c r="AK2" s="357"/>
      <c r="AL2" s="357"/>
      <c r="AM2" s="357"/>
      <c r="AN2" s="357"/>
      <c r="AO2" s="357"/>
      <c r="AP2" s="357"/>
      <c r="AQ2" s="358"/>
      <c r="AR2" s="362"/>
      <c r="AS2" s="363"/>
      <c r="AT2" s="363"/>
      <c r="AU2" s="363"/>
      <c r="AV2" s="363"/>
      <c r="AW2" s="363"/>
      <c r="AX2" s="363"/>
      <c r="AY2" s="363"/>
      <c r="AZ2" s="363"/>
      <c r="BA2" s="363"/>
      <c r="BB2" s="364"/>
      <c r="BC2" s="335"/>
      <c r="BD2" s="335"/>
      <c r="BE2" s="335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70"/>
  <sheetViews>
    <sheetView zoomScale="90" zoomScaleNormal="90" workbookViewId="0">
      <selection activeCell="I8" sqref="I8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8.5703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5" t="s">
        <v>1676</v>
      </c>
      <c r="B1" s="365"/>
      <c r="C1" s="365"/>
      <c r="D1" s="365"/>
      <c r="E1" s="365"/>
      <c r="F1" s="365"/>
      <c r="G1" s="365"/>
      <c r="H1" s="365"/>
      <c r="I1" s="365"/>
      <c r="J1" s="365"/>
      <c r="K1" s="318"/>
      <c r="L1" s="366" t="s">
        <v>1687</v>
      </c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7" t="s">
        <v>1704</v>
      </c>
      <c r="Z1" s="367"/>
      <c r="AA1" s="367"/>
      <c r="AB1" s="367"/>
      <c r="AC1" s="367"/>
      <c r="AD1" s="367"/>
      <c r="AE1" s="367"/>
      <c r="AF1" s="367"/>
      <c r="AG1" s="367"/>
      <c r="AH1" s="367"/>
      <c r="AI1" s="367"/>
      <c r="AJ1" s="367"/>
      <c r="AK1" s="367"/>
      <c r="AL1" s="368" t="s">
        <v>1693</v>
      </c>
      <c r="AM1" s="368"/>
      <c r="AN1" s="368"/>
      <c r="AO1" s="368"/>
      <c r="AP1" s="368"/>
      <c r="AQ1" s="368"/>
      <c r="AR1" s="368"/>
      <c r="AS1" s="368"/>
      <c r="AT1" s="368"/>
      <c r="AU1" s="368"/>
      <c r="AV1" s="368"/>
      <c r="AW1" s="368"/>
    </row>
    <row r="2" spans="1:49" x14ac:dyDescent="0.2">
      <c r="A2" s="365"/>
      <c r="B2" s="365"/>
      <c r="C2" s="365"/>
      <c r="D2" s="365"/>
      <c r="E2" s="365"/>
      <c r="F2" s="365"/>
      <c r="G2" s="365"/>
      <c r="H2" s="365"/>
      <c r="I2" s="365"/>
      <c r="J2" s="365"/>
      <c r="K2" s="318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8"/>
      <c r="AM2" s="368"/>
      <c r="AN2" s="368"/>
      <c r="AO2" s="368"/>
      <c r="AP2" s="368"/>
      <c r="AQ2" s="368"/>
      <c r="AR2" s="368"/>
      <c r="AS2" s="368"/>
      <c r="AT2" s="368"/>
      <c r="AU2" s="368"/>
      <c r="AV2" s="368"/>
      <c r="AW2" s="368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303">
        <v>43818</v>
      </c>
      <c r="B7" s="183">
        <v>109281</v>
      </c>
      <c r="C7" s="183">
        <v>111111</v>
      </c>
      <c r="D7" s="317"/>
      <c r="E7" s="183" t="s">
        <v>1864</v>
      </c>
      <c r="F7" s="183">
        <f>IF(COUNTIFS(VAP01_Assembly[VAP100B SN],VAP100B[[#This Row],[Sub-contractor Serial Number]])=1,IF(AND(VAP100B[[#This Row],[QAI0010]]="PASS",VAP100B[[#This Row],[TP0041]]="PASS"),1,0),0)</f>
        <v>0</v>
      </c>
      <c r="G7" s="292">
        <v>44167</v>
      </c>
      <c r="H7" s="181" t="s">
        <v>1641</v>
      </c>
      <c r="I7" s="181" t="s">
        <v>1643</v>
      </c>
      <c r="J7" s="224" t="str">
        <f>IF(AND(VAP100B[[#This Row],[QAI0010]]="PASS",VAP100B[[#This Row],[TP0041]]="PASS",VAP100B[[#This Row],[Assigned]]=0),VAP100B[[#This Row],[Sub-contractor Serial Number]],"")</f>
        <v/>
      </c>
      <c r="Z7" s="213"/>
      <c r="AS7" s="213"/>
    </row>
    <row r="8" spans="1:49" x14ac:dyDescent="0.2">
      <c r="A8" s="303">
        <v>43818</v>
      </c>
      <c r="B8" s="183">
        <v>109281</v>
      </c>
      <c r="C8" s="183">
        <v>111111</v>
      </c>
      <c r="D8" s="317"/>
      <c r="E8" s="183" t="s">
        <v>1865</v>
      </c>
      <c r="F8" s="183">
        <f>IF(COUNTIFS(VAP01_Assembly[VAP100B SN],VAP100B[[#This Row],[Sub-contractor Serial Number]])=1,IF(AND(VAP100B[[#This Row],[QAI0010]]="PASS",VAP100B[[#This Row],[TP0041]]="PASS"),1,0),0)</f>
        <v>0</v>
      </c>
      <c r="G8" s="292">
        <v>44167</v>
      </c>
      <c r="H8" s="181" t="s">
        <v>1641</v>
      </c>
      <c r="I8" s="181" t="s">
        <v>1643</v>
      </c>
      <c r="J8" s="224" t="str">
        <f>IF(AND(VAP100B[[#This Row],[QAI0010]]="PASS",VAP100B[[#This Row],[TP0041]]="PASS",VAP100B[[#This Row],[Assigned]]=0),VAP100B[[#This Row],[Sub-contractor Serial Number]],"")</f>
        <v/>
      </c>
      <c r="Z8" s="213"/>
      <c r="AS8" s="213"/>
    </row>
    <row r="9" spans="1:49" x14ac:dyDescent="0.2">
      <c r="A9" s="213"/>
      <c r="G9" s="213"/>
      <c r="Z9" s="213"/>
      <c r="AS9" s="213"/>
    </row>
    <row r="10" spans="1:49" x14ac:dyDescent="0.2">
      <c r="A10" s="213"/>
      <c r="G10" s="213"/>
      <c r="Z10" s="213"/>
      <c r="AS10" s="213"/>
    </row>
    <row r="11" spans="1:49" x14ac:dyDescent="0.2">
      <c r="A11" s="213"/>
      <c r="G11" s="213"/>
      <c r="Z11" s="213"/>
      <c r="AS11" s="213"/>
    </row>
    <row r="12" spans="1:49" x14ac:dyDescent="0.2">
      <c r="A12" s="213"/>
      <c r="G12" s="213"/>
      <c r="Z12" s="213"/>
      <c r="AS12" s="213"/>
    </row>
    <row r="13" spans="1:49" x14ac:dyDescent="0.2">
      <c r="A13" s="213"/>
      <c r="G13" s="213"/>
      <c r="Z13" s="213"/>
      <c r="AS13" s="213"/>
    </row>
    <row r="14" spans="1:49" x14ac:dyDescent="0.2">
      <c r="A14" s="213"/>
      <c r="G14" s="213"/>
      <c r="Z14" s="213"/>
      <c r="AS14" s="213"/>
    </row>
    <row r="15" spans="1:49" x14ac:dyDescent="0.2">
      <c r="A15" s="213"/>
      <c r="G15" s="213"/>
      <c r="Z15" s="213"/>
      <c r="AS15" s="213"/>
    </row>
    <row r="16" spans="1:49" x14ac:dyDescent="0.2">
      <c r="A16" s="213"/>
      <c r="G16" s="213"/>
      <c r="Z16" s="213"/>
      <c r="AS16" s="213"/>
    </row>
    <row r="17" spans="1:45" x14ac:dyDescent="0.2">
      <c r="A17" s="213"/>
      <c r="G17" s="213"/>
      <c r="Z17" s="213"/>
      <c r="AS17" s="213"/>
    </row>
    <row r="18" spans="1:45" x14ac:dyDescent="0.2">
      <c r="A18" s="213"/>
      <c r="G18" s="213"/>
      <c r="Z18" s="213"/>
      <c r="AS18" s="213"/>
    </row>
    <row r="19" spans="1:45" x14ac:dyDescent="0.2">
      <c r="A19" s="213"/>
      <c r="G19" s="213"/>
    </row>
    <row r="20" spans="1:45" x14ac:dyDescent="0.2">
      <c r="A20" s="213"/>
      <c r="G20" s="213"/>
    </row>
    <row r="21" spans="1:45" x14ac:dyDescent="0.2">
      <c r="A21" s="213"/>
      <c r="G21" s="213"/>
    </row>
    <row r="22" spans="1:45" x14ac:dyDescent="0.2">
      <c r="A22" s="213"/>
      <c r="G22" s="213"/>
    </row>
    <row r="23" spans="1:45" x14ac:dyDescent="0.2">
      <c r="A23" s="213"/>
      <c r="G23" s="213"/>
    </row>
    <row r="24" spans="1:45" x14ac:dyDescent="0.2">
      <c r="A24" s="213"/>
      <c r="G24" s="213"/>
    </row>
    <row r="25" spans="1:45" x14ac:dyDescent="0.2">
      <c r="A25" s="213"/>
      <c r="G25" s="213"/>
    </row>
    <row r="26" spans="1:45" x14ac:dyDescent="0.2">
      <c r="A26" s="213"/>
      <c r="G26" s="213"/>
    </row>
    <row r="27" spans="1:45" x14ac:dyDescent="0.2">
      <c r="A27" s="213"/>
      <c r="G27" s="213"/>
    </row>
    <row r="28" spans="1:45" x14ac:dyDescent="0.2">
      <c r="A28" s="213"/>
      <c r="G28" s="213"/>
    </row>
    <row r="29" spans="1:45" x14ac:dyDescent="0.2">
      <c r="A29" s="213"/>
      <c r="G29" s="213"/>
    </row>
    <row r="30" spans="1:45" x14ac:dyDescent="0.2">
      <c r="A30" s="213"/>
      <c r="G30" s="213"/>
    </row>
    <row r="31" spans="1:45" x14ac:dyDescent="0.2">
      <c r="A31" s="213"/>
      <c r="G31" s="213"/>
    </row>
    <row r="32" spans="1:45" x14ac:dyDescent="0.2">
      <c r="A32" s="213"/>
      <c r="G32" s="213"/>
    </row>
    <row r="33" spans="1:7" x14ac:dyDescent="0.2">
      <c r="A33" s="213"/>
      <c r="G33" s="213"/>
    </row>
    <row r="34" spans="1:7" x14ac:dyDescent="0.2">
      <c r="A34" s="213"/>
      <c r="G34" s="213"/>
    </row>
    <row r="166" spans="1:10" x14ac:dyDescent="0.2">
      <c r="A166" s="304"/>
      <c r="B166" s="243"/>
      <c r="C166" s="243"/>
      <c r="D166" s="243"/>
      <c r="E166" s="170"/>
      <c r="F166" s="170"/>
      <c r="G166" s="304"/>
      <c r="H166" s="170"/>
      <c r="I166" s="170"/>
      <c r="J166" s="194"/>
    </row>
    <row r="167" spans="1:10" x14ac:dyDescent="0.2">
      <c r="A167" s="304"/>
      <c r="B167" s="170"/>
      <c r="C167" s="170"/>
      <c r="D167" s="170"/>
      <c r="E167" s="170"/>
      <c r="F167" s="170"/>
      <c r="G167" s="304"/>
      <c r="H167" s="170"/>
      <c r="I167" s="170"/>
      <c r="J167" s="170"/>
    </row>
    <row r="168" spans="1:10" x14ac:dyDescent="0.2">
      <c r="A168" s="304"/>
      <c r="B168" s="170"/>
      <c r="C168" s="170"/>
      <c r="D168" s="170"/>
      <c r="E168" s="170"/>
      <c r="F168" s="170"/>
      <c r="G168" s="304"/>
      <c r="H168" s="170"/>
      <c r="I168" s="170"/>
      <c r="J168" s="170"/>
    </row>
    <row r="169" spans="1:10" x14ac:dyDescent="0.2">
      <c r="A169" s="304"/>
      <c r="B169" s="170"/>
      <c r="C169" s="170"/>
      <c r="D169" s="170"/>
      <c r="E169" s="170"/>
      <c r="F169" s="170"/>
      <c r="G169" s="304"/>
      <c r="H169" s="170"/>
      <c r="I169" s="170"/>
      <c r="J169" s="170"/>
    </row>
    <row r="170" spans="1:10" x14ac:dyDescent="0.2">
      <c r="A170" s="304"/>
      <c r="B170" s="170"/>
      <c r="C170" s="170"/>
      <c r="D170" s="170"/>
      <c r="E170" s="170"/>
      <c r="F170" s="170"/>
      <c r="G170" s="304"/>
      <c r="H170" s="170"/>
      <c r="I170" s="170"/>
      <c r="J170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2">
    <dataValidation operator="equal" allowBlank="1" showInputMessage="1" showErrorMessage="1" sqref="J9:J1048576 I1:I2 I9:I1048576 K1:XFD1048576 J1:J2 A1:H2 A9:H1048576"/>
    <dataValidation type="list" allowBlank="1" showInputMessage="1" showErrorMessage="1" sqref="A3:H8 J3:J8 I7 I3:I6 I8">
      <formula1>"UNTESTED,FAIL,PASS"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tabSelected="1" zoomScale="98" zoomScaleNormal="98" workbookViewId="0">
      <selection activeCell="E12" sqref="E12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1866</v>
      </c>
    </row>
    <row r="4" spans="1:11" x14ac:dyDescent="0.2">
      <c r="D4" s="144" t="s">
        <v>1674</v>
      </c>
      <c r="E4" s="144" t="s">
        <v>1867</v>
      </c>
    </row>
    <row r="5" spans="1:11" x14ac:dyDescent="0.2">
      <c r="D5" s="144" t="s">
        <v>1675</v>
      </c>
      <c r="E5" s="225" t="s">
        <v>1868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1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1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2">
        <v>52</v>
      </c>
      <c r="B68" s="313">
        <v>44137</v>
      </c>
      <c r="C68" s="315" t="s">
        <v>1792</v>
      </c>
      <c r="D68" s="315" t="s">
        <v>1824</v>
      </c>
      <c r="E68" s="316" t="s">
        <v>1845</v>
      </c>
      <c r="F68" s="315" t="s">
        <v>1812</v>
      </c>
      <c r="G68" s="314" t="s">
        <v>1739</v>
      </c>
      <c r="H68" s="315"/>
      <c r="I68" s="313"/>
      <c r="J68" s="315"/>
      <c r="K68"/>
    </row>
    <row r="69" spans="1:11" ht="14.25" thickTop="1" thickBot="1" x14ac:dyDescent="0.25">
      <c r="A69" s="269">
        <v>53</v>
      </c>
      <c r="B69" s="313"/>
      <c r="C69" s="315"/>
      <c r="D69" s="315"/>
      <c r="E69" s="316"/>
      <c r="F69" s="315"/>
      <c r="G69" s="314"/>
      <c r="H69" s="315"/>
      <c r="I69" s="313"/>
      <c r="J69" s="315"/>
      <c r="K69"/>
    </row>
    <row r="70" spans="1:11" ht="14.25" thickTop="1" thickBot="1" x14ac:dyDescent="0.25">
      <c r="A70" s="269">
        <v>54</v>
      </c>
      <c r="B70" s="313"/>
      <c r="C70" s="315"/>
      <c r="D70" s="315"/>
      <c r="E70" s="316"/>
      <c r="F70" s="315"/>
      <c r="G70" s="314"/>
      <c r="H70" s="315"/>
      <c r="I70" s="313"/>
      <c r="J70" s="315"/>
      <c r="K70"/>
    </row>
    <row r="71" spans="1:11" ht="14.25" thickTop="1" thickBot="1" x14ac:dyDescent="0.25">
      <c r="A71" s="312">
        <v>55</v>
      </c>
      <c r="B71" s="313"/>
      <c r="C71" s="315"/>
      <c r="D71" s="315"/>
      <c r="E71" s="316"/>
      <c r="F71" s="315"/>
      <c r="G71" s="314"/>
      <c r="H71" s="315"/>
      <c r="I71" s="313"/>
      <c r="J71" s="315"/>
      <c r="K71"/>
    </row>
    <row r="72" spans="1:11" ht="14.25" thickTop="1" thickBot="1" x14ac:dyDescent="0.25">
      <c r="A72" s="269">
        <v>56</v>
      </c>
      <c r="B72" s="313"/>
      <c r="C72" s="315"/>
      <c r="D72" s="315"/>
      <c r="E72" s="316"/>
      <c r="F72" s="315"/>
      <c r="G72" s="314"/>
      <c r="H72" s="315"/>
      <c r="I72" s="313"/>
      <c r="J72" s="315"/>
      <c r="K72"/>
    </row>
    <row r="73" spans="1:11" ht="14.25" thickTop="1" thickBot="1" x14ac:dyDescent="0.25">
      <c r="A73" s="269">
        <v>57</v>
      </c>
      <c r="B73" s="313"/>
      <c r="C73" s="315"/>
      <c r="D73" s="315"/>
      <c r="E73" s="316"/>
      <c r="F73" s="315"/>
      <c r="G73" s="314"/>
      <c r="H73" s="315"/>
      <c r="I73" s="313"/>
      <c r="J73" s="315"/>
      <c r="K73"/>
    </row>
    <row r="74" spans="1:11" ht="14.25" thickTop="1" thickBot="1" x14ac:dyDescent="0.25">
      <c r="A74" s="312">
        <v>58</v>
      </c>
      <c r="B74" s="313"/>
      <c r="C74" s="315"/>
      <c r="D74" s="315"/>
      <c r="E74" s="316"/>
      <c r="F74" s="315"/>
      <c r="G74" s="314"/>
      <c r="H74" s="315"/>
      <c r="I74" s="313"/>
      <c r="J74" s="315"/>
      <c r="K74"/>
    </row>
    <row r="75" spans="1:11" ht="14.25" thickTop="1" thickBot="1" x14ac:dyDescent="0.25">
      <c r="A75" s="269">
        <v>59</v>
      </c>
      <c r="B75" s="313"/>
      <c r="C75" s="314"/>
      <c r="D75" s="315"/>
      <c r="E75" s="316"/>
      <c r="F75" s="315"/>
      <c r="G75" s="314"/>
      <c r="H75" s="315"/>
      <c r="I75" s="313"/>
      <c r="J75" s="315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23" priority="10">
      <formula>$G17=$A$10</formula>
    </cfRule>
    <cfRule type="expression" dxfId="22" priority="11">
      <formula>$G17=$A$12</formula>
    </cfRule>
    <cfRule type="expression" dxfId="21" priority="12">
      <formula>$G17=$A$11</formula>
    </cfRule>
  </conditionalFormatting>
  <conditionalFormatting sqref="A64:J65 A66:D66 F66:J66 A69 A72 A75">
    <cfRule type="expression" dxfId="20" priority="7">
      <formula>$G64=$A$10</formula>
    </cfRule>
    <cfRule type="expression" dxfId="19" priority="8">
      <formula>$G64=$A$12</formula>
    </cfRule>
    <cfRule type="expression" dxfId="18" priority="9">
      <formula>$G64=$A$11</formula>
    </cfRule>
  </conditionalFormatting>
  <conditionalFormatting sqref="E66">
    <cfRule type="expression" dxfId="17" priority="1">
      <formula>$G66=$A$10</formula>
    </cfRule>
    <cfRule type="expression" dxfId="16" priority="2">
      <formula>$G66=$A$12</formula>
    </cfRule>
    <cfRule type="expression" dxfId="15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2020-12-11T09:17:02Z</dcterms:modified>
</cp:coreProperties>
</file>