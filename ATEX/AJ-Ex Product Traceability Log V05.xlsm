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ctrlProps/ctrlProp16.xml" ContentType="application/vnd.ms-excel.controlproperties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-21720" yWindow="3525" windowWidth="21840" windowHeight="13290" firstSheet="1" activeTab="3"/>
  </bookViews>
  <sheets>
    <sheet name="BV Serial Number Register" sheetId="1" state="veryHidden" r:id="rId1"/>
    <sheet name="VAP100AE" sheetId="10" r:id="rId2"/>
    <sheet name="VB3" sheetId="8" state="very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Automation!$E$3</definedName>
    <definedName name="ExPath">Automation!$E$5</definedName>
    <definedName name="ExProductsPath">Automation!$E$4</definedName>
  </definedNames>
  <calcPr calcId="152511"/>
</workbook>
</file>

<file path=xl/calcChain.xml><?xml version="1.0" encoding="utf-8"?>
<calcChain xmlns="http://schemas.openxmlformats.org/spreadsheetml/2006/main">
  <c r="F8" i="11" l="1"/>
  <c r="J8" i="11" s="1"/>
  <c r="F7" i="11"/>
  <c r="J7" i="11" s="1"/>
  <c r="AG5" i="10" l="1"/>
  <c r="AL5" i="10" s="1"/>
  <c r="AG6" i="10"/>
  <c r="AL6" i="10" s="1"/>
  <c r="AG7" i="10"/>
  <c r="AL7" i="10" s="1"/>
  <c r="AH5" i="10"/>
  <c r="AH6" i="10"/>
  <c r="AH7" i="10"/>
  <c r="AI5" i="10"/>
  <c r="AI6" i="10"/>
  <c r="AI7" i="10"/>
  <c r="AJ5" i="10"/>
  <c r="AJ6" i="10"/>
  <c r="AJ7" i="10"/>
  <c r="AK5" i="10"/>
  <c r="AK6" i="10"/>
  <c r="AK7" i="10"/>
  <c r="S5" i="10"/>
  <c r="X5" i="10" s="1"/>
  <c r="S6" i="10"/>
  <c r="X6" i="10" s="1"/>
  <c r="S7" i="10"/>
  <c r="X7" i="10" s="1"/>
  <c r="W5" i="10"/>
  <c r="W6" i="10"/>
  <c r="W7" i="10"/>
  <c r="G6" i="10"/>
  <c r="L6" i="10" s="1"/>
  <c r="G7" i="10"/>
  <c r="L7" i="10" s="1"/>
  <c r="G8" i="10"/>
  <c r="L8" i="10" s="1"/>
  <c r="G9" i="10"/>
  <c r="L9" i="10" s="1"/>
  <c r="G10" i="10"/>
  <c r="L10" i="10" s="1"/>
  <c r="K6" i="10"/>
  <c r="K7" i="10"/>
  <c r="K8" i="10"/>
  <c r="K9" i="10"/>
  <c r="K10" i="10"/>
  <c r="G5" i="10"/>
  <c r="L5" i="10" s="1"/>
  <c r="K5" i="10"/>
  <c r="AE5" i="11" l="1"/>
  <c r="AJ5" i="11" s="1"/>
  <c r="AE6" i="11"/>
  <c r="AI6" i="11" s="1"/>
  <c r="AF5" i="11"/>
  <c r="AF6" i="11"/>
  <c r="AG5" i="11"/>
  <c r="AG6" i="11"/>
  <c r="AH5" i="11"/>
  <c r="AH6" i="11"/>
  <c r="AI5" i="11"/>
  <c r="AJ6" i="11"/>
  <c r="AK5" i="11"/>
  <c r="AK6" i="11"/>
  <c r="F5" i="11"/>
  <c r="J5" i="11" s="1"/>
  <c r="F6" i="11"/>
  <c r="J6" i="11" s="1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H7" i="8"/>
  <c r="D7" i="8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<sst xmlns="http://schemas.openxmlformats.org/spreadsheetml/2006/main" count="5201" uniqueCount="1869">
  <si>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</si>
  <si>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</si>
  <si>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</si>
  <si>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</si>
  <si>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</si>
  <si>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</si>
  <si>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</si>
  <si>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</si>
  <si>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</si>
  <si>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</si>
  <si>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</si>
  <si>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</si>
  <si>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</si>
  <si>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</si>
  <si>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</si>
  <si>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</si>
  <si>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</si>
  <si>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</si>
  <si>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</si>
  <si>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</si>
  <si>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</si>
  <si>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</si>
  <si>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</si>
  <si>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</si>
  <si>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</si>
  <si>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</si>
  <si>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</si>
  <si>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</si>
  <si>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</si>
  <si>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</si>
  <si>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</si>
  <si>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</si>
  <si>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</si>
  <si>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</si>
  <si>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</si>
  <si>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</si>
  <si>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</si>
  <si>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</si>
  <si>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</si>
  <si>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</si>
  <si>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</si>
  <si>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</si>
  <si>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</si>
  <si>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</si>
  <si>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</si>
  <si>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</si>
  <si>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</si>
  <si>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</si>
  <si>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</si>
  <si>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</si>
  <si>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</si>
  <si>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</si>
  <si>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</si>
  <si>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</si>
  <si>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</si>
  <si>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</si>
  <si>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</si>
  <si>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</si>
  <si>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</si>
  <si>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</si>
  <si>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</si>
  <si>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</si>
  <si>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</si>
  <si>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</si>
  <si>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</si>
  <si>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</si>
  <si>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</si>
  <si>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</si>
  <si>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</si>
  <si>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</si>
  <si>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</si>
  <si>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</si>
  <si>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</si>
  <si>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</si>
  <si>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</si>
  <si>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</si>
  <si>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</si>
  <si>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</si>
  <si>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</si>
  <si>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</si>
  <si>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</si>
  <si>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</si>
  <si>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</si>
  <si>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</si>
  <si>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</si>
  <si>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</si>
  <si>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</si>
  <si>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</si>
  <si>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</si>
  <si>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</si>
  <si>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</si>
  <si>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</si>
  <si>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</si>
  <si>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</si>
  <si>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</si>
  <si>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</si>
  <si>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</si>
  <si>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</si>
  <si>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</si>
  <si>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</si>
  <si>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</si>
  <si>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</si>
  <si>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</si>
  <si>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</si>
  <si>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</si>
  <si>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</si>
  <si>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</si>
  <si>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</si>
  <si>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</si>
  <si>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</si>
  <si>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</si>
  <si>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</si>
  <si>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</si>
  <si>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</si>
  <si>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</si>
  <si>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</si>
  <si>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</si>
  <si>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</si>
  <si>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</si>
  <si>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</si>
  <si>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</si>
  <si>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</si>
  <si>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</si>
  <si>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</si>
  <si>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</si>
  <si>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</si>
  <si>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</si>
  <si>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</si>
  <si>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</si>
  <si>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</si>
  <si>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</si>
  <si>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</si>
  <si>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</si>
  <si>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</si>
  <si>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</si>
  <si>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</si>
  <si>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</si>
  <si>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</si>
  <si>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</si>
  <si>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</si>
  <si>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</si>
  <si>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</si>
  <si>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</si>
  <si>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</si>
  <si>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</si>
  <si>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</si>
  <si>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</si>
  <si>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</si>
  <si>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</si>
  <si>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</si>
  <si>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</si>
  <si>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</si>
  <si>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</si>
  <si>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</si>
  <si>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</si>
  <si>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</si>
  <si>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</si>
  <si>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</si>
  <si>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</si>
  <si>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</si>
  <si>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</si>
  <si>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</si>
  <si>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</si>
  <si>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</si>
  <si>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</si>
  <si>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</si>
  <si>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</si>
  <si>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</si>
  <si>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</si>
  <si>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</si>
  <si>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</si>
  <si>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</si>
  <si>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</si>
  <si>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</si>
  <si>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</si>
  <si>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</si>
  <si>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</si>
  <si>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</si>
  <si>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</si>
  <si>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</si>
  <si>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</si>
  <si>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</si>
  <si>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</si>
  <si>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</si>
  <si>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</si>
  <si>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</si>
  <si>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</si>
  <si>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</si>
  <si>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</si>
  <si>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</si>
  <si>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</si>
  <si>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</si>
  <si>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</si>
  <si>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</si>
  <si>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</si>
  <si>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</si>
  <si>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</si>
  <si>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</si>
  <si>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</si>
  <si>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</si>
  <si>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</si>
  <si>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</si>
  <si>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</si>
  <si>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</si>
  <si>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</si>
  <si>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</si>
  <si>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</si>
  <si>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</si>
  <si>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</si>
  <si>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</si>
  <si>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</si>
  <si>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</si>
  <si>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</si>
  <si>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</si>
  <si>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</si>
  <si>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</si>
  <si>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</si>
  <si>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</si>
  <si>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</si>
  <si>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</si>
  <si>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</si>
  <si>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</si>
  <si>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</si>
  <si>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</si>
  <si>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</si>
  <si>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</si>
  <si>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</si>
  <si>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</si>
  <si>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</si>
  <si>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</si>
  <si>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</si>
  <si>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</si>
  <si>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</si>
  <si>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</si>
  <si>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</si>
  <si>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</si>
  <si>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</si>
  <si>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</si>
  <si>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</si>
  <si>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</si>
  <si>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</si>
  <si>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</si>
  <si>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</si>
  <si>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</si>
  <si>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</si>
  <si>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</si>
  <si>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</si>
  <si>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</si>
  <si>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</si>
  <si>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</si>
  <si>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</si>
  <si>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</si>
  <si>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</si>
  <si>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</si>
  <si>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</si>
  <si>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</si>
  <si>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</si>
  <si>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</si>
  <si>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</si>
  <si>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</si>
  <si>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</si>
  <si>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</si>
  <si>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</si>
  <si>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</si>
  <si>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</si>
  <si>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</si>
  <si>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</si>
  <si>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</si>
  <si>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</si>
  <si>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</si>
  <si>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</si>
  <si>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</si>
  <si>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</si>
  <si>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</si>
  <si>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</si>
  <si>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</si>
  <si>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</si>
  <si>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</si>
  <si>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</si>
  <si>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</si>
  <si>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</si>
  <si>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</si>
  <si>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</si>
  <si>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</si>
  <si>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</si>
  <si>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</si>
  <si>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</si>
  <si>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</si>
  <si>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</si>
  <si>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</si>
  <si>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</si>
  <si>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</si>
  <si>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</si>
  <si>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</si>
  <si>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</si>
  <si>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</si>
  <si>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</si>
  <si>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</si>
  <si>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</si>
  <si>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</si>
  <si>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</si>
  <si>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</si>
  <si>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</si>
  <si>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</si>
  <si>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</si>
  <si>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</si>
  <si>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</si>
  <si>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</si>
  <si>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</si>
  <si>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</si>
  <si>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</si>
  <si>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</si>
  <si>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</si>
  <si>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</si>
  <si>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</si>
  <si>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</si>
  <si>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</si>
  <si>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</si>
  <si>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</si>
  <si>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</si>
  <si>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</si>
  <si>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</si>
  <si>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</si>
  <si>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</si>
  <si>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</si>
  <si>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</si>
  <si>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</si>
  <si>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</si>
  <si>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</si>
  <si>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</si>
  <si>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</si>
  <si>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</si>
  <si>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</si>
  <si>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</si>
  <si>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</si>
  <si>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</si>
  <si>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</si>
  <si>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</si>
  <si>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</si>
  <si>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</si>
  <si>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</si>
  <si>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</si>
  <si>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</si>
  <si>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</si>
  <si>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</si>
  <si>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</si>
  <si>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</si>
  <si>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</si>
  <si>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</si>
  <si>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</si>
  <si>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</si>
  <si>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</si>
  <si>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</si>
  <si>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</si>
  <si>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</si>
  <si>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</si>
  <si>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</si>
  <si>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</si>
  <si>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</si>
  <si>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</si>
  <si>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</si>
  <si>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</si>
  <si>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</si>
  <si>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</si>
  <si>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</si>
  <si>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</si>
  <si>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</si>
  <si>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</si>
  <si>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</si>
  <si>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</si>
  <si>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</si>
  <si>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</si>
  <si>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</si>
  <si>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</si>
  <si>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</si>
  <si>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</si>
  <si>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</si>
  <si>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</si>
  <si>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</si>
  <si>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</si>
  <si>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</si>
  <si>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</si>
  <si>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</si>
  <si>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</si>
  <si>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</si>
  <si>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</si>
  <si>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</si>
  <si>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</si>
  <si>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</si>
  <si>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</si>
  <si>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</si>
  <si>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</si>
  <si>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</si>
  <si>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</si>
  <si>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</si>
  <si>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</si>
  <si>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</si>
  <si>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</si>
  <si>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</si>
  <si>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</si>
  <si>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</si>
  <si>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</si>
  <si>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</si>
  <si>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</si>
  <si>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</si>
  <si>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</si>
  <si>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</si>
  <si>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</si>
  <si>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</si>
  <si>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</si>
  <si>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</si>
  <si>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</si>
  <si>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</si>
  <si>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</si>
  <si>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</si>
  <si>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</si>
  <si>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</si>
  <si>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</si>
  <si>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</si>
  <si>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</si>
  <si>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</si>
  <si>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</si>
  <si>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</si>
  <si>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</si>
  <si>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</si>
  <si>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</si>
  <si>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</si>
  <si>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</si>
  <si>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</si>
  <si>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</si>
  <si>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</si>
  <si>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</si>
  <si>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</si>
  <si>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</si>
  <si>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</si>
  <si>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</si>
  <si>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</si>
  <si>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</si>
  <si>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</si>
  <si>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</si>
  <si>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</si>
  <si>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</si>
  <si>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</si>
  <si>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</si>
  <si>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</si>
  <si>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</si>
  <si>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</si>
  <si>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</si>
  <si>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</si>
  <si>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</si>
  <si>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</si>
  <si>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</si>
  <si>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</si>
  <si>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</si>
  <si>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</si>
  <si>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</si>
  <si>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</si>
  <si>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</si>
  <si>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</si>
  <si>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</si>
  <si>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</si>
  <si>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</si>
  <si>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</si>
  <si>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</si>
  <si>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</si>
  <si>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</si>
  <si>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</si>
  <si>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</si>
  <si>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</si>
  <si>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</si>
  <si>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</si>
  <si>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</si>
  <si>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</si>
  <si>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</si>
  <si>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</si>
  <si>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</si>
  <si>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</si>
  <si>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</si>
  <si>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</si>
  <si>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</si>
  <si>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</si>
  <si>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</si>
  <si>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</si>
  <si>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</si>
  <si>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</si>
  <si>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</si>
  <si>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</si>
  <si>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</si>
  <si>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</si>
  <si>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</si>
  <si>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</si>
  <si>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</si>
  <si>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</si>
  <si>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</si>
  <si>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</si>
  <si>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</si>
  <si>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</si>
  <si>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</si>
  <si>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</si>
  <si>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</si>
  <si>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</si>
  <si>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</si>
  <si>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</si>
  <si>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</si>
  <si>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</si>
  <si>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</si>
  <si>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</si>
  <si>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</si>
  <si>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</si>
  <si>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</si>
  <si>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</si>
  <si>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</si>
  <si>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</si>
  <si>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</si>
  <si>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</si>
  <si>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</si>
  <si>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</si>
  <si>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</si>
  <si>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</si>
  <si>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</si>
  <si>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</si>
  <si>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</si>
  <si>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</si>
  <si>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</si>
  <si>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</si>
  <si>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</si>
  <si>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</si>
  <si>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</si>
  <si>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</si>
  <si>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</si>
  <si>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</si>
  <si>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</si>
  <si>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</si>
  <si>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</si>
  <si>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</si>
  <si>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</si>
  <si>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</si>
  <si>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</si>
  <si>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</si>
  <si>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</si>
  <si>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</si>
  <si>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</si>
  <si>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</si>
  <si>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</si>
  <si>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</si>
  <si>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</si>
  <si>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</si>
  <si>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</si>
  <si>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</si>
  <si>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</si>
  <si>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</si>
  <si>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</si>
  <si>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</si>
  <si>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</si>
  <si>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</si>
  <si>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</si>
  <si>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</si>
  <si>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</si>
  <si>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</si>
  <si>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</si>
  <si>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</si>
  <si>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</si>
  <si>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</si>
  <si>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</si>
  <si>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</si>
  <si>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</si>
  <si>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</si>
  <si>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</si>
  <si>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</si>
  <si>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</si>
  <si>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</si>
  <si>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</si>
  <si>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</si>
  <si>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</si>
  <si>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</si>
  <si>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</si>
  <si>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</si>
  <si>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</si>
  <si>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</si>
  <si>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</si>
  <si>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</si>
  <si>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</si>
  <si>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</si>
  <si>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</si>
  <si>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</si>
  <si>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</si>
  <si>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</si>
  <si>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</si>
  <si>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</si>
  <si>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</si>
  <si>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</si>
  <si>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</si>
  <si>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</si>
  <si>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</si>
  <si>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</si>
  <si>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</si>
  <si>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</si>
  <si>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</si>
  <si>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</si>
  <si>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</si>
  <si>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</si>
  <si>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</si>
  <si>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</si>
  <si>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</si>
  <si>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</si>
  <si>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</si>
  <si>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</si>
  <si>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</si>
  <si>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</si>
  <si>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</si>
  <si>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</si>
  <si>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</si>
  <si>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</si>
  <si>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</si>
  <si>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</si>
  <si>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</si>
  <si>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</si>
  <si>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</si>
  <si>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</si>
  <si>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</si>
  <si>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</si>
  <si>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</si>
  <si>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</si>
  <si>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</si>
  <si>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</si>
  <si>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</si>
  <si>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</si>
  <si>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</si>
  <si>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</si>
  <si>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</si>
  <si>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</si>
  <si>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</si>
  <si>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</si>
  <si>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</si>
  <si>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</si>
  <si>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</si>
  <si>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</si>
  <si>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</si>
  <si>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</si>
  <si>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</si>
  <si>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</si>
  <si>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</si>
  <si>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</si>
  <si>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</si>
  <si>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</si>
  <si>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</si>
  <si>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</si>
  <si>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</si>
  <si>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</si>
  <si>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</si>
  <si>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</si>
  <si>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</si>
  <si>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</si>
  <si>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</si>
  <si>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</si>
  <si>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</si>
  <si>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</si>
  <si>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</si>
  <si>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</si>
  <si>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</si>
  <si>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</si>
  <si>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</si>
  <si>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</si>
  <si>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</si>
  <si>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</si>
  <si>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</si>
  <si>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</si>
  <si>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</si>
  <si>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</si>
  <si>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</si>
  <si>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</si>
  <si>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</si>
  <si>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</si>
  <si>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</si>
  <si>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</si>
  <si>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</si>
  <si>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</si>
  <si>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</si>
  <si>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</si>
  <si>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</si>
  <si>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</si>
  <si>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</si>
  <si>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</si>
  <si>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</si>
  <si>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</si>
  <si>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</si>
  <si>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</si>
  <si>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</si>
  <si>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</si>
  <si>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</si>
  <si>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</si>
  <si>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</si>
  <si>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</si>
  <si>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</si>
  <si>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</si>
  <si>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</si>
  <si>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</si>
  <si>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</si>
  <si>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</si>
  <si>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</si>
  <si>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</si>
  <si>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</si>
  <si>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</si>
  <si>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</si>
  <si>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</si>
  <si>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</si>
  <si>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</si>
  <si>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</si>
  <si>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</si>
  <si>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</si>
  <si>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</si>
  <si>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</si>
  <si>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</si>
  <si>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</si>
  <si>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</si>
  <si>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</si>
  <si>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</si>
  <si>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</si>
  <si>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</si>
  <si>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</si>
  <si>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</si>
  <si>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</si>
  <si>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</si>
  <si>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</si>
  <si>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</si>
  <si>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</si>
  <si>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</si>
  <si>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</si>
  <si>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</si>
  <si>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</si>
  <si>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</si>
  <si>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</si>
  <si>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</si>
  <si>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</si>
  <si>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</si>
  <si>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</si>
  <si>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</si>
  <si>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</si>
  <si>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</si>
  <si>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</si>
  <si>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</si>
  <si>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</si>
  <si>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</si>
  <si>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</si>
  <si>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</si>
  <si>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</si>
  <si>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</si>
  <si>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</si>
  <si>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</si>
  <si>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</si>
  <si>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</si>
  <si>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</si>
  <si>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</si>
  <si>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</si>
  <si>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</si>
  <si>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</si>
  <si>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</si>
  <si>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</si>
  <si>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</si>
  <si>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</si>
  <si>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</si>
  <si>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</si>
  <si>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</si>
  <si>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</si>
  <si>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</si>
  <si>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</si>
  <si>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</si>
  <si>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</si>
  <si>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</si>
  <si>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</si>
  <si>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</si>
  <si>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</si>
  <si>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</si>
  <si>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</si>
  <si>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</si>
  <si>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</si>
  <si>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</si>
  <si>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</si>
  <si>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</si>
  <si>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</si>
  <si>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</si>
  <si>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</si>
  <si>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</si>
  <si>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</si>
  <si>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</si>
  <si>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</si>
  <si>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</si>
  <si>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</si>
  <si>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</si>
  <si>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</si>
  <si>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</si>
  <si>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</si>
  <si>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</si>
  <si>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</si>
  <si>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</si>
  <si>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</si>
  <si>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</si>
  <si>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</si>
  <si>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</si>
  <si>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</si>
  <si>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</si>
  <si>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</si>
  <si>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</si>
  <si>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</si>
  <si>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</si>
  <si>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</si>
  <si>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</si>
  <si>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</si>
  <si>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</si>
  <si>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</si>
  <si>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</si>
  <si>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</si>
  <si>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</si>
  <si>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</si>
  <si>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</si>
  <si>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</si>
  <si>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</si>
  <si>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</si>
  <si>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</si>
  <si>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</si>
  <si>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</si>
  <si>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</si>
  <si>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</si>
  <si>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</si>
  <si>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</si>
  <si>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</si>
  <si>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</si>
  <si>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</si>
  <si>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</si>
  <si>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</si>
  <si>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</si>
  <si>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</si>
  <si>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</si>
  <si>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</si>
  <si>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</si>
  <si>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</si>
  <si>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</si>
  <si>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</si>
  <si>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</si>
  <si>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</si>
  <si>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</si>
  <si>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</si>
  <si>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</si>
  <si>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</si>
  <si>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</si>
  <si>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</si>
  <si>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</si>
  <si>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</si>
  <si>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</si>
  <si>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</si>
  <si>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</si>
  <si>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</si>
  <si>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</si>
  <si>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</si>
  <si>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</si>
  <si>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</si>
  <si>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</si>
  <si>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</si>
  <si>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</si>
  <si>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</si>
  <si>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</si>
  <si>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</si>
  <si>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</si>
  <si>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</si>
  <si>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</si>
  <si>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</si>
  <si>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</si>
  <si>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</si>
  <si>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</si>
  <si>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</si>
  <si>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</si>
  <si>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</si>
  <si>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</si>
  <si>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</si>
  <si>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</si>
  <si>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</si>
  <si>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</si>
  <si>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</si>
  <si>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</si>
  <si>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</si>
  <si>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</si>
  <si>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</si>
  <si>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</si>
  <si>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</si>
  <si>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</si>
  <si>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</si>
  <si>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</si>
  <si>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</si>
  <si>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</si>
  <si>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</si>
  <si>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</si>
  <si>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</si>
  <si>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</si>
  <si>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</si>
  <si>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</si>
  <si>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</si>
  <si>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</si>
  <si>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</si>
  <si>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</si>
  <si>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</si>
  <si>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</si>
  <si>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</si>
  <si>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</si>
  <si>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</si>
  <si>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</si>
  <si>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</si>
  <si>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</si>
  <si>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</si>
  <si>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</si>
  <si>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</si>
  <si>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</si>
  <si>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</si>
  <si>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</si>
  <si>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</si>
  <si>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</si>
  <si>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</si>
  <si>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</si>
  <si>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</si>
  <si>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</si>
  <si>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</si>
  <si>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</si>
  <si>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</si>
  <si>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</si>
  <si>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</si>
  <si>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</si>
  <si>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</si>
  <si>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</si>
  <si>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</si>
  <si>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</si>
  <si>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</si>
  <si>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</si>
  <si>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</si>
  <si>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</si>
  <si>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</si>
  <si>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</si>
  <si>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</si>
  <si>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</si>
  <si>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</si>
  <si>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</si>
  <si>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</si>
  <si>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</si>
  <si>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</si>
  <si>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</si>
  <si>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</si>
  <si>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</si>
  <si>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</si>
  <si>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</si>
  <si>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</si>
  <si>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</si>
  <si>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</si>
  <si>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</si>
  <si>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</si>
  <si>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</si>
  <si>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</si>
  <si>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</si>
  <si>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</si>
  <si>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</si>
  <si>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</si>
  <si>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</si>
  <si>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</si>
  <si>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</si>
  <si>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</si>
  <si>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</si>
  <si>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</si>
  <si>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</si>
  <si>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</si>
  <si>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</si>
  <si>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</si>
  <si>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</si>
  <si>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</si>
  <si>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</si>
  <si>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</si>
  <si>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</si>
  <si>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</si>
  <si>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</si>
  <si>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</si>
  <si>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</si>
  <si>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</si>
  <si>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</si>
  <si>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</si>
  <si>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</si>
  <si>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</si>
  <si>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</si>
  <si>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</si>
  <si>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</si>
  <si>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</si>
  <si>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</si>
  <si>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</si>
  <si>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</si>
  <si>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</si>
  <si>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</si>
  <si>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</si>
  <si>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</si>
  <si>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</si>
  <si>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</si>
  <si>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</si>
  <si>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</si>
  <si>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</si>
  <si>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</si>
  <si>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</si>
  <si>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</si>
  <si>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</si>
  <si>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</si>
  <si>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</si>
  <si>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</si>
  <si>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</si>
  <si>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</si>
  <si>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</si>
  <si>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</si>
  <si>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</si>
  <si>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</si>
  <si>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</si>
  <si>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</si>
  <si>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</si>
  <si>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</si>
  <si>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</si>
  <si>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</si>
  <si>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</si>
  <si>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</si>
  <si>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</si>
  <si>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</si>
  <si>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</si>
  <si>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</si>
  <si>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</si>
  <si>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</si>
  <si>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</si>
  <si>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</si>
  <si>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</si>
  <si>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</si>
  <si>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</si>
  <si>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</si>
  <si>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</si>
  <si>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</si>
  <si>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</si>
  <si>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</si>
  <si>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</si>
  <si>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</si>
  <si>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</si>
  <si>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</si>
  <si>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</si>
  <si>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</si>
  <si>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</si>
  <si>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</si>
  <si>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</si>
  <si>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</si>
  <si>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</si>
  <si>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</si>
  <si>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</si>
  <si>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</si>
  <si>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</si>
  <si>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</si>
  <si>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</si>
  <si>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</si>
  <si>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</si>
  <si>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</si>
  <si>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</si>
  <si>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</si>
  <si>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</si>
  <si>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</si>
  <si>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</si>
  <si>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</si>
  <si>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</si>
  <si>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</si>
  <si>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</si>
  <si>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</si>
  <si>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</si>
  <si>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</si>
  <si>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</si>
  <si>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</si>
  <si>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</si>
  <si>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</si>
  <si>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</si>
  <si>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</si>
  <si>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</si>
  <si>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</si>
  <si>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</si>
  <si>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</si>
  <si>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</si>
  <si>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</si>
  <si>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</si>
  <si>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</si>
  <si>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</si>
  <si>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</si>
  <si>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</si>
  <si>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</si>
  <si>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</si>
  <si>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</si>
  <si>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</si>
  <si>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</si>
  <si>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</si>
  <si>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</si>
  <si>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</si>
  <si>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</si>
  <si>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</si>
  <si>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</si>
  <si>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</si>
  <si>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</si>
  <si>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</si>
  <si>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</si>
  <si>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</si>
  <si>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</si>
  <si>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</si>
  <si>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</si>
  <si>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</si>
  <si>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</si>
  <si>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</si>
  <si>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</si>
  <si>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</si>
  <si>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</si>
  <si>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</si>
  <si>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</si>
  <si>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</si>
  <si>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</si>
  <si>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</si>
  <si>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</si>
  <si>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</si>
  <si>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</si>
  <si>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</si>
  <si>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</si>
  <si>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</si>
  <si>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</si>
  <si>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</si>
  <si>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</si>
  <si>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</si>
  <si>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</si>
  <si>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</si>
  <si>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</si>
  <si>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</si>
  <si>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</si>
  <si>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</si>
  <si>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</si>
  <si>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</si>
  <si>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</si>
  <si>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</si>
  <si>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</si>
  <si>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</si>
  <si>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</si>
  <si>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</si>
  <si>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</si>
  <si>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</si>
  <si>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</si>
  <si>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</si>
  <si>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</si>
  <si>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</si>
  <si>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</si>
  <si>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</si>
  <si>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</si>
  <si>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</si>
  <si>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</si>
  <si>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</si>
  <si>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</si>
  <si>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</si>
  <si>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</si>
  <si>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</si>
  <si>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</si>
  <si>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</si>
  <si>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</si>
  <si>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</si>
  <si>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</si>
  <si>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</si>
  <si>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</si>
  <si>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</si>
  <si>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</si>
  <si>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</si>
  <si>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</si>
  <si>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</si>
  <si>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</si>
  <si>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</si>
  <si>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</si>
  <si>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</si>
  <si>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</si>
  <si>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</si>
  <si>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</si>
  <si>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</si>
  <si>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</si>
  <si>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</si>
  <si>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</si>
  <si>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</si>
  <si>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</si>
  <si>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</si>
  <si>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</si>
  <si>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</si>
  <si>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</si>
  <si>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</si>
  <si>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</si>
  <si>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</si>
  <si>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</si>
  <si>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</si>
  <si>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</si>
  <si>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</si>
  <si>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</si>
  <si>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</si>
  <si>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</si>
  <si>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</si>
  <si>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</si>
  <si>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</si>
  <si>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</si>
  <si>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</si>
  <si>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</si>
  <si>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</si>
  <si>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</si>
  <si>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</si>
  <si>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</si>
  <si>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</si>
  <si>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</si>
  <si>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</si>
  <si>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</si>
  <si>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</si>
  <si>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</si>
  <si>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</si>
  <si>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</si>
  <si>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</si>
  <si>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</si>
  <si>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</si>
  <si>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</si>
  <si>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</si>
  <si>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</si>
  <si>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</si>
  <si>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</si>
  <si>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</si>
  <si>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</si>
  <si>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</si>
  <si>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</si>
  <si>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</si>
  <si>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</si>
  <si>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</si>
  <si>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</si>
  <si>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</si>
  <si>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</si>
  <si>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</si>
  <si>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</si>
  <si>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</si>
  <si>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</si>
  <si>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</si>
  <si>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</si>
  <si>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</si>
  <si>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</si>
  <si>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</si>
  <si>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</si>
  <si>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</si>
  <si>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</si>
  <si>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</si>
  <si>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</si>
  <si>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</si>
  <si>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</si>
  <si>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</si>
  <si>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</si>
  <si>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</si>
  <si>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</si>
  <si>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</si>
  <si>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</si>
  <si>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</si>
  <si>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</si>
  <si>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</si>
  <si>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</si>
  <si>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</si>
  <si>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</si>
  <si>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</si>
  <si>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</si>
  <si>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</si>
  <si>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</si>
  <si>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</si>
  <si>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</si>
  <si>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</si>
  <si>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</si>
  <si>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</si>
  <si>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</si>
  <si>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</si>
  <si>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</si>
  <si>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</si>
  <si>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</si>
  <si>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</si>
  <si>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</si>
  <si>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</si>
  <si>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</si>
  <si>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</si>
  <si>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</si>
  <si>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</si>
  <si>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</si>
  <si>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</si>
  <si>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</si>
  <si>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</si>
  <si>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</si>
  <si>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</si>
  <si>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</si>
  <si>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</si>
  <si>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</si>
  <si>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</si>
  <si>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</si>
  <si>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</si>
  <si>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</si>
  <si>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</si>
  <si>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</si>
  <si>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</si>
  <si>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</si>
  <si>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</si>
  <si>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</si>
  <si>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</si>
  <si>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</si>
  <si>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</si>
  <si>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</si>
  <si>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</si>
  <si>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</si>
  <si>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</si>
  <si>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</si>
  <si>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</si>
  <si>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</si>
  <si>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</si>
  <si>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</si>
  <si>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</si>
  <si>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</si>
  <si>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</si>
  <si>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</si>
  <si>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</si>
  <si>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</si>
  <si>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</si>
  <si>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</si>
  <si>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</si>
  <si>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</si>
  <si>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</si>
  <si>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</si>
  <si>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</si>
  <si>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</si>
  <si>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</si>
  <si>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</si>
  <si>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</si>
  <si>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</si>
  <si>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</si>
  <si>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</si>
  <si>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</si>
  <si>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</si>
  <si>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</si>
  <si>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</si>
  <si>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</si>
  <si>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</si>
  <si>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</si>
  <si>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</si>
  <si>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</si>
  <si>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</si>
  <si>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</si>
  <si>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</si>
  <si>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</si>
  <si>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</si>
  <si>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</si>
  <si>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</si>
  <si>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</si>
  <si>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</si>
  <si>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</si>
  <si>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</si>
  <si>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</si>
  <si>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</si>
  <si>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</si>
  <si>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</si>
  <si>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</si>
  <si>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</si>
  <si>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</si>
  <si>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</si>
  <si>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</si>
  <si>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</si>
  <si>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</si>
  <si>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</si>
  <si>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</si>
  <si>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</si>
  <si>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</si>
  <si>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</si>
  <si>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</si>
  <si>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</si>
  <si>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</si>
  <si>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</si>
  <si>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</si>
  <si>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</si>
  <si>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</si>
  <si>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</si>
  <si>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</si>
  <si>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</si>
  <si>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</si>
  <si>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</si>
  <si>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</si>
  <si>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</si>
  <si>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</si>
  <si>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</si>
  <si>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</si>
  <si>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</si>
  <si>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</si>
  <si>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</si>
  <si>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</si>
  <si>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</si>
  <si>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</si>
  <si>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</si>
  <si>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</si>
  <si>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</si>
  <si>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</si>
  <si>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</si>
  <si>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</si>
  <si>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</si>
  <si>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</si>
  <si>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</si>
  <si>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</si>
  <si>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</si>
  <si>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</si>
  <si>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</si>
  <si>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</si>
  <si>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</si>
  <si>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</si>
  <si>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</si>
  <si>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</si>
  <si>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</si>
  <si>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</si>
  <si>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</si>
  <si>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</si>
  <si>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</si>
  <si>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</si>
  <si>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</si>
  <si>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</si>
  <si>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</si>
  <si>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</si>
  <si>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</si>
  <si>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</si>
  <si>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</si>
  <si>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</si>
  <si>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</si>
  <si>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</si>
  <si>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</si>
  <si>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</si>
  <si>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</si>
  <si>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</si>
  <si>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</si>
  <si>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</si>
  <si>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</si>
  <si>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</si>
  <si>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</si>
  <si>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</si>
  <si>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</si>
  <si>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</si>
  <si>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</si>
  <si>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</si>
  <si>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</si>
  <si>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</si>
  <si>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</si>
  <si>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</si>
  <si>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</si>
  <si>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</si>
  <si>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</si>
  <si>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</si>
  <si>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</si>
  <si>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</si>
  <si>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</si>
  <si>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</si>
  <si>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</si>
  <si>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</si>
  <si>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</si>
  <si>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</si>
  <si>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</si>
  <si>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</si>
  <si>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</si>
  <si>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</si>
  <si>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</si>
  <si>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</si>
  <si>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</si>
  <si>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</si>
  <si>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</si>
  <si>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</si>
  <si>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</si>
  <si>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</si>
  <si>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</si>
  <si>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</si>
  <si>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</si>
  <si>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</si>
  <si>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</si>
  <si>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</si>
  <si>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</si>
  <si>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</si>
  <si>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</si>
  <si>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</si>
  <si>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</si>
  <si>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</si>
  <si>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</si>
  <si>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</si>
  <si>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</si>
  <si>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</si>
  <si>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</si>
  <si>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</si>
  <si>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</si>
  <si>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</si>
  <si>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</si>
  <si>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</si>
  <si>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</si>
  <si>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</si>
  <si>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</si>
  <si>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</si>
  <si>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</si>
  <si>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</si>
  <si>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</si>
  <si>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</si>
  <si>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</si>
  <si>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</si>
  <si>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</si>
  <si>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</si>
  <si>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</si>
  <si>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</si>
  <si>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</si>
  <si>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</si>
  <si>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</si>
  <si>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</si>
  <si>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</si>
  <si>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</si>
  <si>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</si>
  <si>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</si>
  <si>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</si>
  <si>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</si>
  <si>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</si>
  <si>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</si>
  <si>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</si>
  <si>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</si>
  <si>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</si>
  <si>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</si>
  <si>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</si>
  <si>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</si>
  <si>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</si>
  <si>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</si>
  <si>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</si>
  <si>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</si>
  <si>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</si>
  <si>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</si>
  <si>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</si>
  <si>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</si>
  <si>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</si>
  <si>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</si>
  <si>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</si>
  <si>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</si>
  <si>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</si>
  <si>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</si>
  <si>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</si>
  <si>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</si>
  <si>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</si>
  <si>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</si>
  <si>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</si>
  <si>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</si>
  <si>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</si>
  <si>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</si>
  <si>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</si>
  <si>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</si>
  <si>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</si>
  <si>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</si>
  <si>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</si>
  <si>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</si>
  <si>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</si>
  <si>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</si>
  <si>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</si>
  <si>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</si>
  <si>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</si>
  <si>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</si>
  <si>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</si>
  <si>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</si>
  <si>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</si>
  <si>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</si>
  <si>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</si>
  <si>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</si>
  <si>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</si>
  <si>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</si>
  <si>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</si>
  <si>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</si>
  <si>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</si>
  <si>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</si>
  <si>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</si>
  <si>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</si>
  <si>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</si>
  <si>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</si>
  <si>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</si>
  <si>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</si>
  <si>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</si>
  <si>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</si>
  <si>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</si>
  <si>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</si>
  <si>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</si>
  <si>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</si>
  <si>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</si>
  <si>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</si>
  <si>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</si>
  <si>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</si>
  <si>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</si>
  <si>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</si>
  <si>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</si>
  <si>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</si>
  <si>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</si>
  <si>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</si>
  <si>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</si>
  <si>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</si>
  <si>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</si>
  <si>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</si>
  <si>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</si>
  <si>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</si>
  <si>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</si>
  <si>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</si>
  <si>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</si>
  <si>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</si>
  <si>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</si>
  <si>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</si>
  <si>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</si>
  <si>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</si>
  <si>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</si>
  <si>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</si>
  <si>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</si>
  <si>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</si>
  <si>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</si>
  <si>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</si>
  <si>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</si>
  <si>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</si>
  <si>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</si>
  <si>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</si>
  <si>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</si>
  <si>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</si>
  <si>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</si>
  <si>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</si>
  <si>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</si>
  <si>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</si>
  <si>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</si>
  <si>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</si>
  <si>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</si>
  <si>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</si>
  <si>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</si>
  <si>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</si>
  <si>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</si>
  <si>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</si>
  <si>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</si>
  <si>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</si>
  <si>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</si>
  <si>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</si>
  <si>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</si>
  <si>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</si>
  <si>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</si>
  <si>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</si>
  <si>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</si>
  <si>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</si>
  <si>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</si>
  <si>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</si>
  <si>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</si>
  <si>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</si>
  <si>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</si>
  <si>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</si>
  <si>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</si>
  <si>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</si>
  <si>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</si>
  <si>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UNTESTED</t>
  </si>
  <si>
    <t>Availability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</si>
  <si>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</si>
  <si>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</si>
  <si>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</si>
  <si>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</si>
  <si>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</si>
  <si>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</si>
  <si>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</si>
  <si>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</si>
  <si>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</si>
  <si>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</si>
  <si>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</si>
  <si>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</si>
  <si>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</si>
  <si>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</si>
  <si>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</si>
  <si>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</si>
  <si>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</si>
  <si>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</si>
  <si>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</si>
  <si>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</si>
  <si>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</si>
  <si>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</si>
  <si>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</si>
  <si>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</si>
  <si>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</si>
  <si>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</si>
  <si>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</si>
  <si>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</si>
  <si>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</si>
  <si>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</si>
  <si>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</si>
  <si>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</si>
  <si>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</si>
  <si>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</si>
  <si>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</si>
  <si>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</si>
  <si>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</si>
  <si>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</si>
  <si>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</si>
  <si>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</si>
  <si>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</si>
  <si>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</si>
  <si>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</si>
  <si>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</si>
  <si>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</si>
  <si>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</si>
  <si>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</si>
  <si>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</si>
  <si>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</si>
  <si>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</si>
  <si>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</si>
  <si>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</si>
  <si>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</si>
  <si>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</si>
  <si>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</si>
  <si>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</si>
  <si>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</si>
  <si>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Purchase Order Number</t>
  </si>
  <si>
    <t xml:space="preserve"> PSC Vodec Purchase Order Number</t>
  </si>
  <si>
    <t>VAP01 Assembly (BI07)</t>
  </si>
  <si>
    <t>Able to select "FAIL" on TP0054 before selecting anything for QAI0005</t>
  </si>
  <si>
    <t>Comments</t>
  </si>
  <si>
    <t>Rectified by using On Error Next error handler method</t>
  </si>
  <si>
    <t>Incomplete</t>
  </si>
  <si>
    <t xml:space="preserve">Certificate of conformity </t>
  </si>
  <si>
    <t>Destination section - "Outwards" documentation</t>
  </si>
  <si>
    <t>Unprotect sheet&gt;Select column&gt;Format cell&gt;select tickbox "Locked"</t>
  </si>
  <si>
    <t>Reinstated</t>
  </si>
  <si>
    <t>Unable to recreate the fault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</si>
  <si>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</si>
  <si>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</si>
  <si>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</si>
  <si>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</si>
  <si>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</si>
  <si>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</si>
  <si>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</si>
  <si>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</si>
  <si>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</si>
  <si>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</si>
  <si>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</si>
  <si>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</si>
  <si>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</si>
  <si>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</si>
  <si>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</si>
  <si>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</si>
  <si>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</si>
  <si>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</si>
  <si>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</si>
  <si>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</si>
  <si>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</si>
  <si>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</si>
  <si>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</si>
  <si>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</si>
  <si>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</si>
  <si>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</si>
  <si>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</si>
  <si>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</si>
  <si>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</si>
  <si>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</si>
  <si>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</si>
  <si>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</si>
  <si>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</si>
  <si>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</si>
  <si>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</si>
  <si>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</si>
  <si>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</si>
  <si>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</si>
  <si>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</si>
  <si>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</si>
  <si>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</si>
  <si>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</si>
  <si>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</si>
  <si>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</si>
  <si>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</si>
  <si>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</si>
  <si>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</si>
  <si>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</si>
  <si>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</si>
  <si>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</si>
  <si>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</si>
  <si>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</si>
  <si>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</si>
  <si>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</si>
  <si>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</si>
  <si>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</si>
  <si>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</si>
  <si>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</si>
  <si>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</si>
  <si>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</si>
  <si>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</si>
  <si>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</si>
  <si>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</si>
  <si>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</si>
  <si>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</si>
  <si>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</si>
  <si>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</si>
  <si>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</si>
  <si>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</si>
  <si>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</si>
  <si>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</si>
  <si>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</si>
  <si>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</si>
  <si>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</si>
  <si>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</si>
  <si>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</si>
  <si>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</si>
  <si>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</si>
  <si>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</si>
  <si>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</si>
  <si>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</si>
  <si>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</si>
  <si>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</si>
  <si>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</si>
  <si>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</si>
  <si>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</si>
  <si>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>CoC</t>
  </si>
  <si>
    <t>NCR</t>
  </si>
  <si>
    <t>Version</t>
  </si>
  <si>
    <t>Name</t>
  </si>
  <si>
    <t>Description</t>
  </si>
  <si>
    <t>Developer</t>
  </si>
  <si>
    <t>Status</t>
  </si>
  <si>
    <t>Date released</t>
  </si>
  <si>
    <t>Pass</t>
  </si>
  <si>
    <t>Fail</t>
  </si>
  <si>
    <t>No</t>
  </si>
  <si>
    <t>SS</t>
  </si>
  <si>
    <t>AJ</t>
  </si>
  <si>
    <t>WD</t>
  </si>
  <si>
    <t>Add Assembley was duplicating serial numbers after section</t>
  </si>
  <si>
    <t>Are you sure? selection confirmation window</t>
  </si>
  <si>
    <t>ElseIf IsEmpty(TestRange(i)) Then ActiveSheet.ListObjects("Membranes").ListRows(i - 1).Delete</t>
  </si>
  <si>
    <t>Bash</t>
  </si>
  <si>
    <t>PON number now can only take digits, any char or symbols cannot be entered</t>
  </si>
  <si>
    <t>V04.5.1</t>
  </si>
  <si>
    <t>Released Version</t>
  </si>
  <si>
    <t>Leading zero in membrance panel SN</t>
  </si>
  <si>
    <t>AP0001,2,3 were inaccessible</t>
  </si>
  <si>
    <t>This was due to Change Control - "ExComponentPaths, ExPath" etc. tables were missing</t>
  </si>
  <si>
    <t>BH</t>
  </si>
  <si>
    <t>Rename the following "PSC V SN" - "Customer PO", "Sales Office" - "Customer Name", "Outwards Doc" - "Packing List Number"</t>
  </si>
  <si>
    <t>EX Area Paths (Edit with caution). Do not change the cells</t>
  </si>
  <si>
    <t>VA0001</t>
  </si>
  <si>
    <t>VA0002</t>
  </si>
  <si>
    <t>AP0001</t>
  </si>
  <si>
    <t>Colours not updating automatically</t>
  </si>
  <si>
    <t>Formula &gt; Calculation Options &gt; Set Automatic!</t>
  </si>
  <si>
    <t>User error change Safe Area to ATEX in VAP01 Destination</t>
  </si>
  <si>
    <t>QZ/834112/1119/AB</t>
  </si>
  <si>
    <t>ATEX</t>
  </si>
  <si>
    <t>8138-29</t>
  </si>
  <si>
    <t>VAP01-22 Asgard</t>
  </si>
  <si>
    <t>PL203626</t>
  </si>
  <si>
    <t>MTL barrier (77200800668 ,77200800672,77200800707 &amp;77200800709</t>
  </si>
  <si>
    <t>Safe Area</t>
  </si>
  <si>
    <t>7714-13</t>
  </si>
  <si>
    <t>De Ruyter Spares</t>
  </si>
  <si>
    <t xml:space="preserve">DANA Petroleum </t>
  </si>
  <si>
    <t>PL203624</t>
  </si>
  <si>
    <t>MTL Barrier (77200800676,7715112825)</t>
  </si>
  <si>
    <t>Add MTL Barrier column in Destination on both VAP100AE and VAP100B</t>
  </si>
  <si>
    <t>RN/519215/1219/AD</t>
  </si>
  <si>
    <t>0372</t>
  </si>
  <si>
    <t>0286</t>
  </si>
  <si>
    <t>0289</t>
  </si>
  <si>
    <t>VAP30 E2</t>
  </si>
  <si>
    <t>AP0002</t>
  </si>
  <si>
    <t>AP0003</t>
  </si>
  <si>
    <t>DANA petroluem</t>
  </si>
  <si>
    <t>MTL Barrier (77200800690 &amp;77200800696</t>
  </si>
  <si>
    <t>MTL Barrier (77200800683 &amp;77200800684)</t>
  </si>
  <si>
    <t>MTL Barrier (77200800700 &amp;77200800701)</t>
  </si>
  <si>
    <t>Customer Name</t>
  </si>
  <si>
    <t>V5</t>
  </si>
  <si>
    <t>Deleted the column</t>
  </si>
  <si>
    <t>Home &gt; Number &gt; Text</t>
  </si>
  <si>
    <t>Rectified the error</t>
  </si>
  <si>
    <t>Packing List Number</t>
  </si>
  <si>
    <t>Customer PO</t>
  </si>
  <si>
    <t>QZ/834115/1119/AB</t>
  </si>
  <si>
    <t>QZ/834083/1119/AB</t>
  </si>
  <si>
    <t>D:\EX Area\Manufacturing Archives\Components</t>
  </si>
  <si>
    <t>D:\EX Area\Manufacturing Archives\Products</t>
  </si>
  <si>
    <t>D:\EX Area\Manufacturing Archives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</si>
</sst>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dd\ mmm\ yyyy"/>
    <numFmt numFmtId="166" formatCode="[$-809]dd\ mmmm\ yyyy;@"/>
    <numFmt numFmtId="167" formatCode="dd/mm/yy;@"/>
  </numFmts>
  <fonts count="23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6666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medium">
        <color indexed="64"/>
      </left>
      <right/>
      <top style="double">
        <color rgb="FF3F3F3F"/>
      </top>
      <bottom style="medium">
        <color indexed="64"/>
      </bottom>
      <diagonal/>
    </border>
    <border>
      <left/>
      <right/>
      <top style="double">
        <color rgb="FF3F3F3F"/>
      </top>
      <bottom style="medium">
        <color indexed="64"/>
      </bottom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 style="double">
        <color indexed="64"/>
      </bottom>
      <diagonal/>
    </border>
    <border>
      <left/>
      <right/>
      <top style="double">
        <color auto="1"/>
      </top>
      <bottom style="double">
        <color indexed="64"/>
      </bottom>
      <diagonal/>
    </border>
  </borders>
  <cellStyleXfs count="3">
    <xf numFmtId="0" fontId="0" fillId="0" borderId="0"/>
    <xf numFmtId="0" fontId="16" fillId="5" borderId="0" applyNumberFormat="0" applyBorder="0" applyAlignment="0" applyProtection="0"/>
    <xf numFmtId="0" fontId="22" fillId="23" borderId="16" applyNumberFormat="0" applyAlignment="0" applyProtection="0"/>
  </cellStyleXfs>
  <cellXfs count="369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0" fontId="0" fillId="0" borderId="0" xfId="0" applyProtection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164" fontId="0" fillId="0" borderId="0" xfId="0" applyNumberFormat="1"/>
    <xf numFmtId="0" fontId="0" fillId="0" borderId="0" xfId="0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166" fontId="0" fillId="0" borderId="0" xfId="0" applyNumberFormat="1"/>
    <xf numFmtId="166" fontId="0" fillId="0" borderId="0" xfId="0" applyNumberFormat="1" applyFill="1" applyProtection="1">
      <protection locked="0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4" fontId="0" fillId="0" borderId="0" xfId="0" applyNumberFormat="1" applyFill="1" applyProtection="1"/>
    <xf numFmtId="0" fontId="22" fillId="23" borderId="17" xfId="2" applyBorder="1" applyAlignment="1">
      <alignment wrapText="1"/>
    </xf>
    <xf numFmtId="0" fontId="22" fillId="23" borderId="18" xfId="2" applyBorder="1" applyAlignment="1">
      <alignment wrapText="1"/>
    </xf>
    <xf numFmtId="0" fontId="0" fillId="0" borderId="19" xfId="0" applyBorder="1" applyAlignment="1">
      <alignment wrapText="1"/>
    </xf>
    <xf numFmtId="167" fontId="0" fillId="0" borderId="20" xfId="0" applyNumberFormat="1" applyBorder="1" applyAlignment="1">
      <alignment wrapText="1"/>
    </xf>
    <xf numFmtId="0" fontId="0" fillId="0" borderId="20" xfId="0" applyBorder="1" applyAlignment="1">
      <alignment wrapText="1"/>
    </xf>
    <xf numFmtId="0" fontId="1" fillId="0" borderId="20" xfId="0" applyFont="1" applyBorder="1" applyAlignment="1">
      <alignment wrapText="1"/>
    </xf>
    <xf numFmtId="164" fontId="0" fillId="0" borderId="20" xfId="0" applyNumberFormat="1" applyBorder="1" applyAlignment="1">
      <alignment wrapText="1"/>
    </xf>
    <xf numFmtId="167" fontId="0" fillId="0" borderId="21" xfId="0" applyNumberFormat="1" applyBorder="1" applyAlignment="1">
      <alignment wrapText="1"/>
    </xf>
    <xf numFmtId="0" fontId="0" fillId="0" borderId="21" xfId="0" applyBorder="1" applyAlignment="1">
      <alignment wrapText="1"/>
    </xf>
    <xf numFmtId="0" fontId="22" fillId="23" borderId="17" xfId="2" applyBorder="1" applyAlignment="1">
      <alignment vertical="center" wrapText="1"/>
    </xf>
    <xf numFmtId="167" fontId="22" fillId="23" borderId="17" xfId="2" applyNumberFormat="1" applyBorder="1" applyAlignment="1">
      <alignment wrapText="1"/>
    </xf>
    <xf numFmtId="0" fontId="1" fillId="0" borderId="2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2" xfId="0" applyBorder="1" applyAlignment="1">
      <alignment wrapText="1"/>
    </xf>
    <xf numFmtId="167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49" fontId="1" fillId="6" borderId="0" xfId="0" applyNumberFormat="1" applyFont="1" applyFill="1" applyAlignment="1">
      <alignment wrapText="1"/>
    </xf>
    <xf numFmtId="49" fontId="0" fillId="2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24" xfId="0" applyBorder="1" applyAlignment="1">
      <alignment wrapText="1"/>
    </xf>
    <xf numFmtId="0" fontId="0" fillId="0" borderId="25" xfId="0" applyBorder="1" applyAlignment="1">
      <alignment wrapText="1"/>
    </xf>
    <xf numFmtId="167" fontId="0" fillId="0" borderId="25" xfId="0" applyNumberForma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3" xfId="0" applyFont="1" applyBorder="1" applyAlignment="1">
      <alignment vertical="center" wrapText="1"/>
    </xf>
    <xf numFmtId="0" fontId="0" fillId="24" borderId="0" xfId="0" applyFill="1" applyProtection="1"/>
    <xf numFmtId="49" fontId="0" fillId="24" borderId="0" xfId="0" applyNumberFormat="1" applyFill="1" applyProtection="1"/>
    <xf numFmtId="0" fontId="0" fillId="24" borderId="0" xfId="0" applyNumberFormat="1" applyFill="1"/>
    <xf numFmtId="165" fontId="0" fillId="24" borderId="0" xfId="0" applyNumberFormat="1" applyFill="1" applyProtection="1"/>
    <xf numFmtId="0" fontId="0" fillId="24" borderId="0" xfId="0" applyNumberFormat="1" applyFill="1" applyProtection="1"/>
    <xf numFmtId="0" fontId="1" fillId="0" borderId="25" xfId="0" applyFont="1" applyBorder="1" applyAlignment="1">
      <alignment wrapText="1"/>
    </xf>
    <xf numFmtId="0" fontId="1" fillId="0" borderId="25" xfId="0" applyFont="1" applyBorder="1" applyAlignment="1">
      <alignment vertical="center" wrapText="1"/>
    </xf>
    <xf numFmtId="49" fontId="1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49" fontId="1" fillId="24" borderId="0" xfId="0" quotePrefix="1" applyNumberFormat="1" applyFont="1" applyFill="1" applyProtection="1"/>
    <xf numFmtId="0" fontId="1" fillId="24" borderId="0" xfId="0" applyFont="1" applyFill="1" applyProtection="1">
      <protection locked="0"/>
    </xf>
    <xf numFmtId="0" fontId="1" fillId="24" borderId="0" xfId="0" applyFont="1" applyFill="1" applyProtection="1"/>
    <xf numFmtId="49" fontId="0" fillId="24" borderId="0" xfId="0" applyNumberFormat="1" applyFont="1" applyFill="1"/>
    <xf numFmtId="0" fontId="0" fillId="24" borderId="0" xfId="0" applyFont="1" applyFill="1"/>
    <xf numFmtId="49" fontId="1" fillId="24" borderId="0" xfId="0" applyNumberFormat="1" applyFont="1" applyFill="1" applyProtection="1"/>
    <xf numFmtId="0" fontId="1" fillId="24" borderId="0" xfId="0" applyNumberFormat="1" applyFont="1" applyFill="1" applyProtection="1"/>
    <xf numFmtId="165" fontId="0" fillId="20" borderId="0" xfId="0" applyNumberFormat="1" applyFill="1"/>
    <xf numFmtId="165" fontId="0" fillId="20" borderId="0" xfId="0" applyNumberFormat="1" applyFill="1" applyProtection="1">
      <protection locked="0"/>
    </xf>
    <xf numFmtId="165" fontId="10" fillId="14" borderId="7" xfId="0" applyNumberFormat="1" applyFont="1" applyFill="1" applyBorder="1" applyAlignment="1">
      <alignment horizontal="center" vertical="center" wrapText="1"/>
    </xf>
    <xf numFmtId="165" fontId="0" fillId="24" borderId="0" xfId="0" applyNumberFormat="1" applyFill="1"/>
    <xf numFmtId="165" fontId="0" fillId="0" borderId="0" xfId="0" applyNumberFormat="1"/>
    <xf numFmtId="165" fontId="0" fillId="0" borderId="0" xfId="0" applyNumberFormat="1" applyFill="1"/>
    <xf numFmtId="165" fontId="10" fillId="14" borderId="6" xfId="0" applyNumberFormat="1" applyFont="1" applyFill="1" applyBorder="1" applyAlignment="1" applyProtection="1">
      <alignment horizontal="center" vertical="center" wrapText="1"/>
    </xf>
    <xf numFmtId="165" fontId="1" fillId="0" borderId="0" xfId="0" applyNumberFormat="1" applyFont="1" applyFill="1" applyProtection="1">
      <protection locked="0"/>
    </xf>
    <xf numFmtId="165" fontId="1" fillId="7" borderId="0" xfId="0" applyNumberFormat="1" applyFont="1" applyFill="1" applyAlignment="1">
      <alignment horizontal="center" vertical="center" wrapText="1"/>
    </xf>
    <xf numFmtId="165" fontId="1" fillId="7" borderId="0" xfId="0" applyNumberFormat="1" applyFont="1" applyFill="1" applyBorder="1" applyAlignment="1">
      <alignment horizontal="center" vertical="center" wrapText="1"/>
    </xf>
    <xf numFmtId="165" fontId="1" fillId="6" borderId="0" xfId="0" applyNumberFormat="1" applyFont="1" applyFill="1" applyAlignment="1">
      <alignment wrapText="1"/>
    </xf>
    <xf numFmtId="165" fontId="0" fillId="17" borderId="0" xfId="0" applyNumberFormat="1" applyFill="1" applyAlignment="1" applyProtection="1">
      <alignment wrapText="1"/>
    </xf>
    <xf numFmtId="165" fontId="0" fillId="20" borderId="0" xfId="0" applyNumberFormat="1" applyFill="1" applyProtection="1"/>
    <xf numFmtId="165" fontId="0" fillId="0" borderId="0" xfId="0" applyNumberFormat="1" applyFill="1" applyProtection="1"/>
    <xf numFmtId="165" fontId="0" fillId="0" borderId="0" xfId="0" applyNumberFormat="1" applyProtection="1"/>
    <xf numFmtId="165" fontId="1" fillId="7" borderId="0" xfId="0" applyNumberFormat="1" applyFont="1" applyFill="1" applyAlignment="1" applyProtection="1">
      <alignment wrapText="1"/>
    </xf>
    <xf numFmtId="165" fontId="0" fillId="0" borderId="0" xfId="0" applyNumberFormat="1" applyAlignment="1" applyProtection="1">
      <alignment wrapText="1"/>
    </xf>
    <xf numFmtId="165" fontId="0" fillId="22" borderId="0" xfId="0" applyNumberFormat="1" applyFill="1" applyAlignment="1" applyProtection="1">
      <alignment wrapText="1"/>
    </xf>
    <xf numFmtId="165" fontId="1" fillId="18" borderId="6" xfId="0" applyNumberFormat="1" applyFont="1" applyFill="1" applyBorder="1" applyAlignment="1">
      <alignment horizontal="center" vertical="center" wrapText="1"/>
    </xf>
    <xf numFmtId="165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167" fontId="1" fillId="0" borderId="20" xfId="0" applyNumberFormat="1" applyFont="1" applyBorder="1" applyAlignment="1">
      <alignment wrapText="1"/>
    </xf>
    <xf numFmtId="0" fontId="0" fillId="0" borderId="26" xfId="0" applyBorder="1" applyAlignment="1">
      <alignment wrapText="1"/>
    </xf>
    <xf numFmtId="167" fontId="0" fillId="0" borderId="27" xfId="0" applyNumberFormat="1" applyBorder="1" applyAlignment="1">
      <alignment wrapText="1"/>
    </xf>
    <xf numFmtId="0" fontId="0" fillId="0" borderId="27" xfId="0" applyBorder="1" applyAlignment="1">
      <alignment wrapText="1"/>
    </xf>
    <xf numFmtId="0" fontId="1" fillId="0" borderId="27" xfId="0" applyFont="1" applyBorder="1" applyAlignment="1">
      <alignment wrapText="1"/>
    </xf>
    <xf numFmtId="0" fontId="1" fillId="0" borderId="27" xfId="0" applyFont="1" applyBorder="1" applyAlignment="1">
      <alignment vertical="center" wrapText="1"/>
    </xf>
    <xf numFmtId="0" fontId="1" fillId="20" borderId="0" xfId="0" applyNumberFormat="1" applyFont="1" applyFill="1" applyProtection="1"/>
    <xf numFmtId="0" fontId="9" fillId="17" borderId="0" xfId="0" applyFont="1" applyFill="1" applyAlignment="1" applyProtection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3">
    <cellStyle name="Check Cell" xfId="2" builtinId="23"/>
    <cellStyle name="Neutral" xfId="1" builtinId="28"/>
    <cellStyle name="Normal" xfId="0" builtinId="0"/>
  </cellStyles>
  <dxfs count="214"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border>
        <top style="double">
          <color rgb="FF3F3F3F"/>
        </top>
      </border>
    </dxf>
    <dxf>
      <border diagonalUp="0" diagonalDown="0">
        <top style="double">
          <color rgb="FF3F3F3F"/>
        </top>
        <bottom style="double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double">
          <color rgb="FF3F3F3F"/>
        </bottom>
      </border>
    </dxf>
    <dxf>
      <alignment horizontal="general" vertical="bottom" textRotation="0" wrapText="1" indent="0" justifyLastLine="0" shrinkToFit="0" readingOrder="0"/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dd\ mmm\ 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8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numFmt numFmtId="165" formatCode="dd\ mmm\ yyyy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30" formatCode="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828675</xdr:colOff>
          <xdr:row>0</xdr:row>
          <xdr:rowOff>66675</xdr:rowOff>
        </xdr:from>
        <xdr:to>
          <xdr:col>1</xdr:col>
          <xdr:colOff>485775</xdr:colOff>
          <xdr:row>1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523875</xdr:colOff>
          <xdr:row>0</xdr:row>
          <xdr:rowOff>104775</xdr:rowOff>
        </xdr:from>
        <xdr:to>
          <xdr:col>14</xdr:col>
          <xdr:colOff>333375</xdr:colOff>
          <xdr:row>1</xdr:row>
          <xdr:rowOff>142875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xmlns="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447675</xdr:colOff>
          <xdr:row>0</xdr:row>
          <xdr:rowOff>76200</xdr:rowOff>
        </xdr:from>
        <xdr:to>
          <xdr:col>26</xdr:col>
          <xdr:colOff>295275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xmlns="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28575</xdr:rowOff>
        </xdr:from>
        <xdr:to>
          <xdr:col>39</xdr:col>
          <xdr:colOff>600075</xdr:colOff>
          <xdr:row>1</xdr:row>
          <xdr:rowOff>142875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xmlns="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695325</xdr:colOff>
          <xdr:row>0</xdr:row>
          <xdr:rowOff>76200</xdr:rowOff>
        </xdr:from>
        <xdr:to>
          <xdr:col>37</xdr:col>
          <xdr:colOff>523875</xdr:colOff>
          <xdr:row>1</xdr:row>
          <xdr:rowOff>142875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xmlns="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238125</xdr:rowOff>
        </xdr:from>
        <xdr:to>
          <xdr:col>1</xdr:col>
          <xdr:colOff>1019175</xdr:colOff>
          <xdr:row>1</xdr:row>
          <xdr:rowOff>28575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xmlns="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104775</xdr:rowOff>
        </xdr:from>
        <xdr:to>
          <xdr:col>9</xdr:col>
          <xdr:colOff>390525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xmlns="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0</xdr:row>
          <xdr:rowOff>66675</xdr:rowOff>
        </xdr:from>
        <xdr:to>
          <xdr:col>16</xdr:col>
          <xdr:colOff>352425</xdr:colOff>
          <xdr:row>0</xdr:row>
          <xdr:rowOff>352425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xmlns="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85725</xdr:rowOff>
        </xdr:from>
        <xdr:to>
          <xdr:col>23</xdr:col>
          <xdr:colOff>676275</xdr:colOff>
          <xdr:row>0</xdr:row>
          <xdr:rowOff>352425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xmlns="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257175</xdr:rowOff>
        </xdr:from>
        <xdr:to>
          <xdr:col>38</xdr:col>
          <xdr:colOff>390525</xdr:colOff>
          <xdr:row>1</xdr:row>
          <xdr:rowOff>180975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xmlns="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238125</xdr:rowOff>
        </xdr:from>
        <xdr:to>
          <xdr:col>45</xdr:col>
          <xdr:colOff>276225</xdr:colOff>
          <xdr:row>1</xdr:row>
          <xdr:rowOff>104775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xmlns="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504825</xdr:colOff>
          <xdr:row>0</xdr:row>
          <xdr:rowOff>104775</xdr:rowOff>
        </xdr:from>
        <xdr:to>
          <xdr:col>1</xdr:col>
          <xdr:colOff>866775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409575</xdr:colOff>
          <xdr:row>0</xdr:row>
          <xdr:rowOff>85725</xdr:rowOff>
        </xdr:from>
        <xdr:to>
          <xdr:col>26</xdr:col>
          <xdr:colOff>371475</xdr:colOff>
          <xdr:row>1</xdr:row>
          <xdr:rowOff>142875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xmlns="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104775</xdr:rowOff>
        </xdr:from>
        <xdr:to>
          <xdr:col>40</xdr:col>
          <xdr:colOff>142875</xdr:colOff>
          <xdr:row>1</xdr:row>
          <xdr:rowOff>123825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xmlns="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0</xdr:row>
          <xdr:rowOff>76200</xdr:rowOff>
        </xdr:from>
        <xdr:to>
          <xdr:col>34</xdr:col>
          <xdr:colOff>1057275</xdr:colOff>
          <xdr:row>1</xdr:row>
          <xdr:rowOff>104775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xmlns="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5</xdr:col>
          <xdr:colOff>809625</xdr:colOff>
          <xdr:row>4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Root Directory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0" totalsRowShown="0" headerRowDxfId="213" dataDxfId="212" tableBorderDxfId="211">
  <autoFilter ref="A3:L10"/>
  <tableColumns count="12">
    <tableColumn id="1" name="Date Delivered" dataDxfId="210"/>
    <tableColumn id="2" name="PSC Vodec Purchase Order Number" dataDxfId="209"/>
    <tableColumn id="9" name="Type" dataDxfId="208"/>
    <tableColumn id="12" name="CoC" dataDxfId="207"/>
    <tableColumn id="11" name="NCR" dataDxfId="206"/>
    <tableColumn id="3" name="Sub-contractor Serial Number" dataDxfId="205"/>
    <tableColumn id="4" name="Assigned" dataDxfId="204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203"/>
    <tableColumn id="6" name="QAI0005" dataDxfId="202"/>
    <tableColumn id="7" name="TP0054" dataDxfId="201"/>
    <tableColumn id="10" name="Availability VAP100A" dataDxfId="200">
      <calculatedColumnFormula>IF(VAP100AE[[#This Row],[Type]]="VAP100A",IF(VAP100AE[[#This Row],[TP0054]]="PASS",IF(G4=0,IF(G4="","",F4),""),""),"")</calculatedColumnFormula>
    </tableColumn>
    <tableColumn id="8" name="Availability VAP100E" dataDxfId="199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7" totalsRowShown="0" headerRowDxfId="198" dataDxfId="197">
  <autoFilter ref="M3:X7"/>
  <tableColumns count="12">
    <tableColumn id="1" name="Date" dataDxfId="196"/>
    <tableColumn id="2" name="PSC PO No" dataDxfId="195"/>
    <tableColumn id="3" name="Type" dataDxfId="194"/>
    <tableColumn id="11" name="CoC" dataDxfId="193"/>
    <tableColumn id="12" name="NCR" dataDxfId="192"/>
    <tableColumn id="4" name="Sub-contractor SN" dataDxfId="191"/>
    <tableColumn id="5" name="Assigned" dataDxfId="190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89"/>
    <tableColumn id="7" name="QAI0006" dataDxfId="188"/>
    <tableColumn id="10" name="TP0095" dataDxfId="187"/>
    <tableColumn id="9" name="Availability DX3MC16" dataDxfId="186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85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7" totalsRowShown="0" headerRowDxfId="184" dataDxfId="183">
  <autoFilter ref="Y3:AL7"/>
  <tableColumns count="14">
    <tableColumn id="1" name="ID" dataDxfId="182"/>
    <tableColumn id="2" name="Date" dataDxfId="181"/>
    <tableColumn id="3" name="Type" dataDxfId="180"/>
    <tableColumn id="4" name="Membrane SN" dataDxfId="179"/>
    <tableColumn id="5" name="VAP100 SN 1" dataDxfId="178"/>
    <tableColumn id="6" name="VAP100 SN 2" dataDxfId="177"/>
    <tableColumn id="7" name="TP0094/96" dataDxfId="176"/>
    <tableColumn id="8" name="QAI0008/9" dataDxfId="175"/>
    <tableColumn id="9" name="Assigned" dataDxfId="174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73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72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71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70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69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W7" totalsRowShown="0" headerRowDxfId="168" dataDxfId="166" headerRowBorderDxfId="167">
  <autoFilter ref="AM3:AW7"/>
  <tableColumns count="11">
    <tableColumn id="1" name="Customer PO" dataDxfId="165"/>
    <tableColumn id="11" name="Panel Type" dataDxfId="164"/>
    <tableColumn id="12" name="Ex Type" dataDxfId="163"/>
    <tableColumn id="2" name="ID/SN" dataDxfId="162"/>
    <tableColumn id="3" name="W/O " dataDxfId="161"/>
    <tableColumn id="4" name="Project Name" dataDxfId="160"/>
    <tableColumn id="5" name="Customer Name" dataDxfId="159"/>
    <tableColumn id="6" name="Despatch Date" dataDxfId="158"/>
    <tableColumn id="7" name="Packing List Number" dataDxfId="157"/>
    <tableColumn id="9" name="RMA # (if applicable)" dataDxfId="156"/>
    <tableColumn id="10" name="Comment/Fault or Recall" dataDxfId="15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4" dataDxfId="152" headerRowBorderDxfId="153" tableBorderDxfId="151">
  <autoFilter ref="A3:H9"/>
  <tableColumns count="8">
    <tableColumn id="1" name="Date Delivered" dataDxfId="150"/>
    <tableColumn id="2" name="Bartec Vodec Purchase Order Number" dataDxfId="149"/>
    <tableColumn id="3" name="Sub-contractor Serial Number" dataDxfId="148"/>
    <tableColumn id="8" name="Assigned" dataDxfId="147">
      <calculatedColumnFormula>IF(AND(COUNTIF('VB3'!$AM$4:$AM$4,C4)=1,VB3_PCB[[#This Row],[QAI0001]]="PASS",VB3_PCB[[#This Row],[TP0066]]="PASS"),1,0)</calculatedColumnFormula>
    </tableColumn>
    <tableColumn id="4" name="Delivery Received &amp; Filed" dataDxfId="146"/>
    <tableColumn id="5" name="QAI0001" dataDxfId="145"/>
    <tableColumn id="6" name="TP0066" dataDxfId="144"/>
    <tableColumn id="7" name="Availability List" dataDxfId="143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2" dataDxfId="140" headerRowBorderDxfId="141" tableBorderDxfId="139">
  <autoFilter ref="I3:O4"/>
  <tableColumns count="7">
    <tableColumn id="1" name="Date Delivered" dataDxfId="138"/>
    <tableColumn id="2" name="Bartec Vodec Purchase Order" dataDxfId="137"/>
    <tableColumn id="3" name="Delivery Received &amp; Filed" dataDxfId="136"/>
    <tableColumn id="6" name="Assigned" dataDxfId="135">
      <calculatedColumnFormula>IF(AND(COUNTIF('VB3'!$AD$4:$AD$4,M4)=1,VB3_Castings[[#This Row],[QAI0002]]="PASS"),1,0)</calculatedColumnFormula>
    </tableColumn>
    <tableColumn id="4" name="Component Serial Number" dataDxfId="134"/>
    <tableColumn id="5" name="QAI0002" dataDxfId="133"/>
    <tableColumn id="7" name="Availability List" dataDxfId="132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1" dataDxfId="129" headerRowBorderDxfId="130" tableBorderDxfId="128">
  <autoFilter ref="P3:V4"/>
  <tableColumns count="7">
    <tableColumn id="1" name="Date Delivered" dataDxfId="127"/>
    <tableColumn id="2" name="Bartec Vodec Purchase Order" dataDxfId="126"/>
    <tableColumn id="3" name="Delivery Received &amp; Filed" dataDxfId="125"/>
    <tableColumn id="6" name="Assigned" dataDxfId="124">
      <calculatedColumnFormula>IF(AND(COUNTIF('VB3'!$AE$4:$AE$4,T4)=1,VB3_Wellglass[[#This Row],[QAI0003]]="PASS"),1,0)</calculatedColumnFormula>
    </tableColumn>
    <tableColumn id="4" name="Component Serial Number" dataDxfId="123"/>
    <tableColumn id="5" name="QAI0003" dataDxfId="122"/>
    <tableColumn id="7" name="Availability List" dataDxfId="121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0" dataDxfId="118" headerRowBorderDxfId="119" tableBorderDxfId="117">
  <autoFilter ref="W3:AI4"/>
  <tableColumns count="13">
    <tableColumn id="1" name="Preassembly ID" dataDxfId="116"/>
    <tableColumn id="12" name="Assigned" dataDxfId="115">
      <calculatedColumnFormula>IF(AND(COUNTIF('VB3'!$AN$4:$AN$4,W4)=1,VB3_Preassembly[[#This Row],[TP0065 Result]]="PASS"),1,0)</calculatedColumnFormula>
    </tableColumn>
    <tableColumn id="11" name="Availability List" dataDxfId="114">
      <calculatedColumnFormula>IF(AI4="PASS",IF(X4=0,IF(X4="","",W4),""),"")</calculatedColumnFormula>
    </tableColumn>
    <tableColumn id="2" name="Stycast Batch Part 1 Serial Number" dataDxfId="113"/>
    <tableColumn id="3" name="Stycast Batch Part 1 Date" dataDxfId="112"/>
    <tableColumn id="4" name="Stycast Batch Part 2 Serial Number" dataDxfId="111"/>
    <tableColumn id="5" name="Stycast Batch Part 2 Date" dataDxfId="110"/>
    <tableColumn id="6" name="Castings Serial Number" dataDxfId="109"/>
    <tableColumn id="7" name="Wellglass Serial Number" dataDxfId="108"/>
    <tableColumn id="8" name="Ambient Temp" dataDxfId="107"/>
    <tableColumn id="9" name="TP0065 Operative" dataDxfId="106"/>
    <tableColumn id="13" name="TP0065 Date" dataDxfId="105"/>
    <tableColumn id="10" name="TP0065 Result" dataDxfId="10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3" dataDxfId="101" headerRowBorderDxfId="102" tableBorderDxfId="100">
  <autoFilter ref="AJ3:AQ4"/>
  <tableColumns count="8">
    <tableColumn id="1" name="Internal ID" dataDxfId="99"/>
    <tableColumn id="7" name="Assigned" dataDxfId="98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97">
      <calculatedColumnFormula>IF(AQ4="PASS",IF(AK4=0,IF(AK4="","",AJ4),""),"")</calculatedColumnFormula>
    </tableColumn>
    <tableColumn id="2" name="PCB Serial Number" dataDxfId="96"/>
    <tableColumn id="3" name="Preassembly ID" dataDxfId="95"/>
    <tableColumn id="8" name="TP0067" dataDxfId="94"/>
    <tableColumn id="4" name="TP0069" dataDxfId="93"/>
    <tableColumn id="5" name="QAI0004" dataDxfId="9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1" tableBorderDxfId="90">
  <autoFilter ref="AR3:BE4"/>
  <tableColumns count="14">
    <tableColumn id="1" name="Bartec Vodec Serial Number" dataDxfId="89"/>
    <tableColumn id="2" name="VB3 Assembly ID" dataDxfId="88"/>
    <tableColumn id="3" name="Voltage" dataDxfId="87"/>
    <tableColumn id="4" name="Colour" dataDxfId="86"/>
    <tableColumn id="5" name="Torquing Up" dataDxfId="85"/>
    <tableColumn id="6" name="QAI0005" dataDxfId="84"/>
    <tableColumn id="7" name="W/O "/>
    <tableColumn id="8" name="Project Name"/>
    <tableColumn id="9" name="Sales Office"/>
    <tableColumn id="10" name="Despatch Date" dataDxfId="83"/>
    <tableColumn id="11" name="Outwards Documentation" dataDxfId="82"/>
    <tableColumn id="12" name="NCR # (if applicable)" dataDxfId="81"/>
    <tableColumn id="13" name="RMA # (if applicable)" dataDxfId="80"/>
    <tableColumn id="14" name="Comment/Fault or Recall" dataDxfId="7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8" totalsRowShown="0" headerRowDxfId="78" dataDxfId="77">
  <autoFilter ref="A3:J8"/>
  <tableColumns count="10">
    <tableColumn id="1" name="Date Delivered" dataDxfId="76"/>
    <tableColumn id="2" name=" PSC Vodec Purchase Order Number" dataDxfId="75"/>
    <tableColumn id="12" name="CoC" dataDxfId="74"/>
    <tableColumn id="9" name="NCR" dataDxfId="73"/>
    <tableColumn id="3" name="Sub-contractor Serial Number" dataDxfId="72"/>
    <tableColumn id="4" name="Assigned" dataDxfId="71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70"/>
    <tableColumn id="6" name="QAI0010" dataDxfId="69"/>
    <tableColumn id="7" name="TP0041" dataDxfId="68"/>
    <tableColumn id="8" name="Availability" dataDxfId="67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66" dataDxfId="65">
  <autoFilter ref="L3:X4"/>
  <tableColumns count="13">
    <tableColumn id="1" name="Date Delivered" dataDxfId="64"/>
    <tableColumn id="2" name="Bartec Vodec Purchase Order Number" dataDxfId="63"/>
    <tableColumn id="3" name="Serial Number" dataDxfId="62"/>
    <tableColumn id="4" name="Type" dataDxfId="61"/>
    <tableColumn id="5" name="Assigned" dataDxfId="60"/>
    <tableColumn id="6" name="Delivery Received &amp; Filed" dataDxfId="59"/>
    <tableColumn id="7" name="QAI0011" dataDxfId="58"/>
    <tableColumn id="8" name="Availiability 11" dataDxfId="57"/>
    <tableColumn id="9" name="Availability 12" dataDxfId="56"/>
    <tableColumn id="10" name="Availability 13" dataDxfId="55"/>
    <tableColumn id="11" name="Availability 21" dataDxfId="54"/>
    <tableColumn id="12" name="Availability 22" dataDxfId="53"/>
    <tableColumn id="13" name="Availability 23" dataDxfId="5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6" totalsRowShown="0" headerRowDxfId="51" dataDxfId="50">
  <autoFilter ref="Y3:AK6"/>
  <tableColumns count="13">
    <tableColumn id="1" name="ID" dataDxfId="49"/>
    <tableColumn id="3" name="Entry Date" dataDxfId="48"/>
    <tableColumn id="2" name="Type" dataDxfId="47"/>
    <tableColumn id="4" name="VAP100B SN" dataDxfId="46"/>
    <tableColumn id="5" name="TP0016" dataDxfId="45"/>
    <tableColumn id="6" name="QAI0011" dataDxfId="44"/>
    <tableColumn id="7" name="Assigned" dataDxfId="43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42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41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0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9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38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37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V6" totalsRowShown="0" headerRowDxfId="36" dataDxfId="35">
  <autoFilter ref="AL3:AV6"/>
  <tableColumns count="11">
    <tableColumn id="1" name="Customer PO" dataDxfId="34"/>
    <tableColumn id="12" name="VAP01 ID" dataDxfId="33"/>
    <tableColumn id="2" name="Type" dataDxfId="32"/>
    <tableColumn id="3" name="Ex Type" dataDxfId="31"/>
    <tableColumn id="4" name="WO No" dataDxfId="30"/>
    <tableColumn id="5" name="Project" dataDxfId="29"/>
    <tableColumn id="6" name="Customer Name" dataDxfId="28"/>
    <tableColumn id="7" name="Despatch Date" dataDxfId="27"/>
    <tableColumn id="8" name="Packing List Number" dataDxfId="26"/>
    <tableColumn id="10" name="RMA # (if applicable)" dataDxfId="25"/>
    <tableColumn id="11" name="Comment/Fault or Recall" dataDxfId="2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3" name="Change_Control" displayName="Change_Control" ref="A16:J76" totalsRowShown="0" headerRowDxfId="14" dataDxfId="12" headerRowBorderDxfId="13" tableBorderDxfId="11" totalsRowBorderDxfId="10" headerRowCellStyle="Check Cell">
  <autoFilter ref="A16:J76"/>
  <sortState ref="A17:J65">
    <sortCondition ref="A16:A65"/>
  </sortState>
  <tableColumns count="10">
    <tableColumn id="1" name="No" dataDxfId="9"/>
    <tableColumn id="11" name="Date" dataDxfId="8"/>
    <tableColumn id="3" name="Version" dataDxfId="7"/>
    <tableColumn id="4" name="Name" dataDxfId="6"/>
    <tableColumn id="2" name="Description" dataDxfId="5"/>
    <tableColumn id="7" name="Developer" dataDxfId="4"/>
    <tableColumn id="8" name="Status" dataDxfId="3"/>
    <tableColumn id="9" name="Released Version" dataDxfId="2"/>
    <tableColumn id="12" name="Date released" dataDxfId="1"/>
    <tableColumn id="14" name="Comment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4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75" x14ac:dyDescent="0.2"/>
  <cols>
    <col min="1" max="1" width="12.42578125" style="13" customWidth="1"/>
    <col min="2" max="2" width="10.85546875" style="6" customWidth="1"/>
    <col min="3" max="3" width="30.85546875" style="23" bestFit="1" customWidth="1"/>
    <col min="4" max="4" width="11.5703125" style="13" customWidth="1"/>
    <col min="5" max="5" width="0.140625" style="13" hidden="1" customWidth="1"/>
    <col min="6" max="6" width="18" style="83" bestFit="1" customWidth="1"/>
    <col min="7" max="7" width="9.140625" style="13" customWidth="1"/>
    <col min="8" max="8" width="12.140625" style="13" bestFit="1" customWidth="1"/>
    <col min="9" max="9" width="10.140625" style="13" bestFit="1" customWidth="1"/>
    <col min="10" max="10" width="12" style="13" bestFit="1" customWidth="1"/>
    <col min="11" max="11" width="28.140625" customWidth="1"/>
  </cols>
  <sheetData>
    <row r="1" spans="1:11" ht="15" x14ac:dyDescent="0.2">
      <c r="A1" s="8"/>
      <c r="B1" s="79"/>
      <c r="C1" s="21"/>
      <c r="D1" s="8"/>
      <c r="E1" s="8"/>
      <c r="H1" s="8"/>
    </row>
    <row r="2" spans="1:11" ht="15.75" x14ac:dyDescent="0.25">
      <c r="A2" s="327" t="s">
        <v>1272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</row>
    <row r="3" spans="1:11" ht="25.5" x14ac:dyDescent="0.35">
      <c r="A3" s="8"/>
      <c r="B3" s="1"/>
      <c r="C3" s="28"/>
      <c r="D3" s="8"/>
      <c r="E3" s="8"/>
      <c r="H3" s="8"/>
    </row>
    <row r="4" spans="1:11" s="74" customFormat="1" ht="51" customHeight="1" x14ac:dyDescent="0.2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.5" x14ac:dyDescent="0.2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.5" x14ac:dyDescent="0.2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.5" x14ac:dyDescent="0.2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.5" x14ac:dyDescent="0.2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.5" x14ac:dyDescent="0.2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.5" x14ac:dyDescent="0.2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.5" x14ac:dyDescent="0.2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.5" x14ac:dyDescent="0.2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.5" x14ac:dyDescent="0.2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.5" x14ac:dyDescent="0.2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.5" x14ac:dyDescent="0.2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.5" x14ac:dyDescent="0.2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.5" x14ac:dyDescent="0.2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.5" x14ac:dyDescent="0.2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.5" x14ac:dyDescent="0.2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.5" x14ac:dyDescent="0.2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.5" x14ac:dyDescent="0.2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.5" x14ac:dyDescent="0.2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.5" x14ac:dyDescent="0.2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.5" x14ac:dyDescent="0.2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.5" x14ac:dyDescent="0.2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.5" x14ac:dyDescent="0.2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.5" x14ac:dyDescent="0.2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.5" x14ac:dyDescent="0.2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.5" x14ac:dyDescent="0.2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.5" x14ac:dyDescent="0.2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.5" x14ac:dyDescent="0.2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.5" x14ac:dyDescent="0.2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.5" x14ac:dyDescent="0.2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.5" x14ac:dyDescent="0.2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.5" x14ac:dyDescent="0.2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.5" x14ac:dyDescent="0.2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.5" x14ac:dyDescent="0.2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.5" x14ac:dyDescent="0.2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.5" x14ac:dyDescent="0.2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.5" x14ac:dyDescent="0.2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.5" x14ac:dyDescent="0.2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.5" x14ac:dyDescent="0.2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.5" x14ac:dyDescent="0.2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.5" x14ac:dyDescent="0.2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.5" x14ac:dyDescent="0.2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.5" x14ac:dyDescent="0.2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.5" x14ac:dyDescent="0.2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.5" x14ac:dyDescent="0.2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.5" x14ac:dyDescent="0.2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.5" x14ac:dyDescent="0.2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.5" x14ac:dyDescent="0.2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">
      <c r="A1177" s="319">
        <v>1303</v>
      </c>
      <c r="B1177" s="321" t="s">
        <v>1507</v>
      </c>
      <c r="C1177" s="45" t="s">
        <v>1581</v>
      </c>
      <c r="D1177" s="323" t="s">
        <v>1580</v>
      </c>
      <c r="E1177" s="10"/>
      <c r="F1177" s="328" t="s">
        <v>1583</v>
      </c>
      <c r="G1177" s="323" t="s">
        <v>1179</v>
      </c>
      <c r="H1177" s="325">
        <v>42318</v>
      </c>
      <c r="I1177" s="323" t="s">
        <v>1181</v>
      </c>
      <c r="J1177" s="325">
        <v>42318</v>
      </c>
      <c r="K1177" s="43" t="s">
        <v>1584</v>
      </c>
    </row>
    <row r="1178" spans="1:11" x14ac:dyDescent="0.2">
      <c r="A1178" s="320"/>
      <c r="B1178" s="322"/>
      <c r="C1178" s="45" t="s">
        <v>1582</v>
      </c>
      <c r="D1178" s="324"/>
      <c r="E1178" s="10"/>
      <c r="F1178" s="329"/>
      <c r="G1178" s="324"/>
      <c r="H1178" s="326"/>
      <c r="I1178" s="324"/>
      <c r="J1178" s="326"/>
      <c r="K1178" s="3"/>
    </row>
    <row r="1179" spans="1:11" x14ac:dyDescent="0.2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">
      <c r="A1187" s="319">
        <v>1306</v>
      </c>
      <c r="B1187" s="321" t="s">
        <v>257</v>
      </c>
      <c r="C1187" s="45" t="s">
        <v>1599</v>
      </c>
      <c r="D1187" s="323" t="s">
        <v>1601</v>
      </c>
      <c r="E1187" s="10"/>
      <c r="F1187" s="323" t="s">
        <v>33</v>
      </c>
      <c r="G1187" s="323" t="s">
        <v>1202</v>
      </c>
      <c r="H1187" s="325">
        <v>42388</v>
      </c>
      <c r="I1187" s="323" t="s">
        <v>1368</v>
      </c>
      <c r="J1187" s="323" t="s">
        <v>1602</v>
      </c>
      <c r="K1187" s="321" t="s">
        <v>1603</v>
      </c>
    </row>
    <row r="1188" spans="1:11" x14ac:dyDescent="0.2">
      <c r="A1188" s="320"/>
      <c r="B1188" s="322"/>
      <c r="C1188" s="80" t="s">
        <v>1600</v>
      </c>
      <c r="D1188" s="324"/>
      <c r="E1188" s="10"/>
      <c r="F1188" s="324"/>
      <c r="G1188" s="324"/>
      <c r="H1188" s="326"/>
      <c r="I1188" s="324"/>
      <c r="J1188" s="324"/>
      <c r="K1188" s="322"/>
    </row>
    <row r="1189" spans="1:11" x14ac:dyDescent="0.2">
      <c r="A1189" s="319">
        <v>1307</v>
      </c>
      <c r="B1189" s="321" t="s">
        <v>257</v>
      </c>
      <c r="C1189" s="45" t="s">
        <v>1604</v>
      </c>
      <c r="D1189" s="323" t="s">
        <v>1601</v>
      </c>
      <c r="E1189" s="10"/>
      <c r="F1189" s="323" t="s">
        <v>33</v>
      </c>
      <c r="G1189" s="323" t="s">
        <v>1202</v>
      </c>
      <c r="H1189" s="325">
        <v>42388</v>
      </c>
      <c r="I1189" s="323" t="s">
        <v>1368</v>
      </c>
      <c r="J1189" s="323" t="s">
        <v>1602</v>
      </c>
      <c r="K1189" s="321" t="s">
        <v>1606</v>
      </c>
    </row>
    <row r="1190" spans="1:11" x14ac:dyDescent="0.2">
      <c r="A1190" s="320"/>
      <c r="B1190" s="322"/>
      <c r="C1190" s="80" t="s">
        <v>1605</v>
      </c>
      <c r="D1190" s="324"/>
      <c r="E1190" s="10"/>
      <c r="F1190" s="324"/>
      <c r="G1190" s="324"/>
      <c r="H1190" s="326"/>
      <c r="I1190" s="324"/>
      <c r="J1190" s="324"/>
      <c r="K1190" s="322"/>
    </row>
    <row r="1191" spans="1:11" x14ac:dyDescent="0.2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sheetProtection selectLockedCells="1"/>
  <autoFilter ref="A4:P1160"/>
  <mergeCells count="27"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1187:A1188"/>
    <mergeCell ref="A1189:A1190"/>
    <mergeCell ref="B1189:B1190"/>
    <mergeCell ref="D1189:D1190"/>
    <mergeCell ref="F1189:F1190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W120"/>
  <sheetViews>
    <sheetView zoomScaleNormal="100" workbookViewId="0">
      <pane ySplit="3" topLeftCell="A4" activePane="bottomLeft" state="frozen"/>
      <selection pane="bottomLeft" activeCell="F8" sqref="F8"/>
    </sheetView>
  </sheetViews>
  <sheetFormatPr defaultRowHeight="12.75" x14ac:dyDescent="0.2"/>
  <cols>
    <col min="1" max="1" width="19.140625" style="295" bestFit="1" customWidth="1"/>
    <col min="2" max="2" width="15.5703125" customWidth="1"/>
    <col min="3" max="3" width="13.85546875" customWidth="1"/>
    <col min="4" max="5" width="18.5703125" customWidth="1"/>
    <col min="6" max="6" width="20.7109375" customWidth="1"/>
    <col min="7" max="7" width="15.42578125" style="234" customWidth="1"/>
    <col min="8" max="8" width="18.140625" style="295" customWidth="1"/>
    <col min="9" max="9" width="11.85546875" customWidth="1"/>
    <col min="10" max="10" width="11.5703125" customWidth="1"/>
    <col min="11" max="12" width="20.7109375" customWidth="1"/>
    <col min="13" max="13" width="17.7109375" style="295" bestFit="1" customWidth="1"/>
    <col min="14" max="14" width="11.85546875" customWidth="1"/>
    <col min="15" max="15" width="11" bestFit="1" customWidth="1"/>
    <col min="16" max="17" width="11" customWidth="1"/>
    <col min="18" max="18" width="17.140625" style="264" customWidth="1"/>
    <col min="19" max="19" width="11" customWidth="1"/>
    <col min="20" max="20" width="16.42578125" style="295" customWidth="1"/>
    <col min="21" max="21" width="13.140625" bestFit="1" customWidth="1"/>
    <col min="22" max="22" width="12.140625" bestFit="1" customWidth="1"/>
    <col min="23" max="24" width="20.7109375" customWidth="1"/>
    <col min="25" max="25" width="8.85546875" customWidth="1"/>
    <col min="26" max="26" width="14.5703125" style="295" customWidth="1"/>
    <col min="27" max="27" width="11.140625" customWidth="1"/>
    <col min="28" max="28" width="15" style="264" customWidth="1"/>
    <col min="29" max="29" width="16.85546875" customWidth="1"/>
    <col min="30" max="30" width="15.85546875" customWidth="1"/>
    <col min="31" max="31" width="14.140625" customWidth="1"/>
    <col min="32" max="32" width="13.42578125" customWidth="1"/>
    <col min="33" max="33" width="12" bestFit="1" customWidth="1"/>
    <col min="34" max="38" width="23.7109375" customWidth="1"/>
    <col min="39" max="39" width="21.7109375" customWidth="1"/>
    <col min="40" max="41" width="14.85546875" customWidth="1"/>
    <col min="42" max="42" width="17.85546875" customWidth="1"/>
    <col min="43" max="43" width="11.42578125" customWidth="1"/>
    <col min="44" max="44" width="14.5703125" customWidth="1"/>
    <col min="45" max="45" width="17.85546875" customWidth="1"/>
    <col min="46" max="46" width="15.85546875" style="295" customWidth="1"/>
    <col min="47" max="47" width="25.140625" customWidth="1"/>
    <col min="48" max="48" width="20.5703125" customWidth="1"/>
    <col min="49" max="49" width="34.42578125" customWidth="1"/>
  </cols>
  <sheetData>
    <row r="1" spans="1:49" x14ac:dyDescent="0.2">
      <c r="A1" s="330" t="s">
        <v>1651</v>
      </c>
      <c r="B1" s="330"/>
      <c r="C1" s="330"/>
      <c r="D1" s="330"/>
      <c r="E1" s="330"/>
      <c r="F1" s="330"/>
      <c r="G1" s="330"/>
      <c r="H1" s="330"/>
      <c r="I1" s="330"/>
      <c r="J1" s="157"/>
      <c r="K1" s="236"/>
      <c r="L1" s="154"/>
      <c r="M1" s="332" t="s">
        <v>1653</v>
      </c>
      <c r="N1" s="332"/>
      <c r="O1" s="332"/>
      <c r="P1" s="332"/>
      <c r="Q1" s="332"/>
      <c r="R1" s="332"/>
      <c r="S1" s="332"/>
      <c r="T1" s="332"/>
      <c r="U1" s="332"/>
      <c r="V1" s="332"/>
      <c r="W1" s="332"/>
      <c r="X1" s="332"/>
      <c r="Y1" s="333" t="s">
        <v>1671</v>
      </c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4" t="s">
        <v>1665</v>
      </c>
      <c r="AN1" s="334"/>
      <c r="AO1" s="334"/>
      <c r="AP1" s="334"/>
      <c r="AQ1" s="334"/>
      <c r="AR1" s="334"/>
      <c r="AS1" s="334"/>
      <c r="AT1" s="334"/>
      <c r="AU1" s="334"/>
      <c r="AV1" s="334"/>
      <c r="AW1" s="334"/>
    </row>
    <row r="2" spans="1:49" x14ac:dyDescent="0.2">
      <c r="A2" s="331"/>
      <c r="B2" s="331"/>
      <c r="C2" s="331"/>
      <c r="D2" s="331"/>
      <c r="E2" s="331"/>
      <c r="F2" s="331"/>
      <c r="G2" s="331"/>
      <c r="H2" s="331"/>
      <c r="I2" s="331"/>
      <c r="J2" s="155"/>
      <c r="K2" s="155"/>
      <c r="L2" s="155"/>
      <c r="M2" s="332"/>
      <c r="N2" s="332"/>
      <c r="O2" s="332"/>
      <c r="P2" s="332"/>
      <c r="Q2" s="332"/>
      <c r="R2" s="332"/>
      <c r="S2" s="332"/>
      <c r="T2" s="332"/>
      <c r="U2" s="332"/>
      <c r="V2" s="332"/>
      <c r="W2" s="332"/>
      <c r="X2" s="332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</row>
    <row r="3" spans="1:49" ht="38.25" x14ac:dyDescent="0.2">
      <c r="A3" s="293" t="s">
        <v>692</v>
      </c>
      <c r="B3" s="123" t="s">
        <v>1702</v>
      </c>
      <c r="C3" s="123" t="s">
        <v>1652</v>
      </c>
      <c r="D3" s="123" t="s">
        <v>1800</v>
      </c>
      <c r="E3" s="123" t="s">
        <v>1801</v>
      </c>
      <c r="F3" s="124" t="s">
        <v>2</v>
      </c>
      <c r="G3" s="124" t="s">
        <v>1637</v>
      </c>
      <c r="H3" s="297" t="s">
        <v>1613</v>
      </c>
      <c r="I3" s="176" t="s">
        <v>1633</v>
      </c>
      <c r="J3" s="177" t="s">
        <v>1650</v>
      </c>
      <c r="K3" s="153" t="s">
        <v>1661</v>
      </c>
      <c r="L3" s="156" t="s">
        <v>1662</v>
      </c>
      <c r="M3" s="299" t="s">
        <v>1654</v>
      </c>
      <c r="N3" s="158" t="s">
        <v>1757</v>
      </c>
      <c r="O3" s="158" t="s">
        <v>1652</v>
      </c>
      <c r="P3" s="158" t="s">
        <v>1800</v>
      </c>
      <c r="Q3" s="158" t="s">
        <v>1801</v>
      </c>
      <c r="R3" s="262" t="s">
        <v>1655</v>
      </c>
      <c r="S3" s="159" t="s">
        <v>1637</v>
      </c>
      <c r="T3" s="300" t="s">
        <v>1613</v>
      </c>
      <c r="U3" s="159" t="s">
        <v>1656</v>
      </c>
      <c r="V3" s="159" t="s">
        <v>1766</v>
      </c>
      <c r="W3" s="159" t="s">
        <v>1664</v>
      </c>
      <c r="X3" s="159" t="s">
        <v>1663</v>
      </c>
      <c r="Y3" s="163" t="s">
        <v>1657</v>
      </c>
      <c r="Z3" s="301" t="s">
        <v>1654</v>
      </c>
      <c r="AA3" s="163" t="s">
        <v>1652</v>
      </c>
      <c r="AB3" s="266" t="s">
        <v>1658</v>
      </c>
      <c r="AC3" s="163" t="s">
        <v>1659</v>
      </c>
      <c r="AD3" s="163" t="s">
        <v>1660</v>
      </c>
      <c r="AE3" s="163" t="s">
        <v>1767</v>
      </c>
      <c r="AF3" s="163" t="s">
        <v>1672</v>
      </c>
      <c r="AG3" s="163" t="s">
        <v>1637</v>
      </c>
      <c r="AH3" s="163" t="s">
        <v>1664</v>
      </c>
      <c r="AI3" s="163" t="s">
        <v>1667</v>
      </c>
      <c r="AJ3" s="163" t="s">
        <v>1668</v>
      </c>
      <c r="AK3" s="163" t="s">
        <v>1669</v>
      </c>
      <c r="AL3" s="163" t="s">
        <v>1670</v>
      </c>
      <c r="AM3" s="160" t="s">
        <v>1863</v>
      </c>
      <c r="AN3" s="160" t="s">
        <v>1666</v>
      </c>
      <c r="AO3" s="160" t="s">
        <v>1690</v>
      </c>
      <c r="AP3" s="160" t="s">
        <v>1697</v>
      </c>
      <c r="AQ3" s="161" t="s">
        <v>3</v>
      </c>
      <c r="AR3" s="161" t="s">
        <v>4</v>
      </c>
      <c r="AS3" s="161" t="s">
        <v>1857</v>
      </c>
      <c r="AT3" s="309" t="s">
        <v>5</v>
      </c>
      <c r="AU3" s="162" t="s">
        <v>1862</v>
      </c>
      <c r="AV3" s="162" t="s">
        <v>195</v>
      </c>
      <c r="AW3" s="161" t="s">
        <v>6</v>
      </c>
    </row>
    <row r="4" spans="1:49" x14ac:dyDescent="0.2">
      <c r="A4" s="291"/>
      <c r="B4" s="178"/>
      <c r="C4" s="178"/>
      <c r="D4" s="178"/>
      <c r="E4" s="182"/>
      <c r="F4" s="179"/>
      <c r="G4" s="179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92"/>
      <c r="I4" s="182"/>
      <c r="J4" s="181"/>
      <c r="K4" s="224" t="str">
        <f>IF(VAP100AE[[#This Row],[Type]]="VAP100A",IF(VAP100AE[[#This Row],[TP0054]]="PASS",IF(G4=0,IF(G4="","",F4),""),""),"")</f>
        <v/>
      </c>
      <c r="L4" s="179" t="str">
        <f>IF(VAP100AE[[#This Row],[Type]]="VAP100E",IF(VAP100AE[[#This Row],[TP0054]]="PASS",IF(G4=0,IF(G4="","",F4),""),""),"")</f>
        <v/>
      </c>
      <c r="M4" s="291"/>
      <c r="N4" s="183"/>
      <c r="O4" s="183"/>
      <c r="P4" s="183"/>
      <c r="Q4" s="183"/>
      <c r="R4" s="263"/>
      <c r="S4" s="179">
        <f>IF(AND(COUNTIF(Assembly[Membrane SN],Membranes[[#This Row],[Sub-contractor SN]])=1,Membranes[[#This Row],[QAI0006]]="PASS"),1,0)</f>
        <v>0</v>
      </c>
      <c r="T4" s="292"/>
      <c r="U4" s="181"/>
      <c r="V4" s="181"/>
      <c r="W4" s="18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79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79"/>
      <c r="Z4" s="291"/>
      <c r="AA4" s="179"/>
      <c r="AB4" s="267"/>
      <c r="AC4" s="181"/>
      <c r="AD4" s="181"/>
      <c r="AE4" s="181"/>
      <c r="AF4" s="181"/>
      <c r="AG4" s="179">
        <f>IF(AND(COUNTIF(VAP_Destination[ID/SN],Assembly[[#This Row],[ID]])=1,Assembly[[#This Row],[TP0094/96]]="PASS",Assembly[[#This Row],[QAI0008/9]]="PASS"),1,0)</f>
        <v>0</v>
      </c>
      <c r="AH4" s="183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3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3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3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3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32">
        <v>0</v>
      </c>
      <c r="AN4" s="229"/>
      <c r="AO4" s="229"/>
      <c r="AP4" s="229"/>
      <c r="AQ4" s="230"/>
      <c r="AR4" s="230"/>
      <c r="AS4" s="230"/>
      <c r="AT4" s="310"/>
      <c r="AU4" s="231"/>
      <c r="AV4" s="231"/>
      <c r="AW4" s="233"/>
    </row>
    <row r="5" spans="1:49" s="34" customFormat="1" ht="25.5" x14ac:dyDescent="0.2">
      <c r="A5" s="294">
        <v>43808</v>
      </c>
      <c r="B5" s="281" t="s">
        <v>1784</v>
      </c>
      <c r="C5" s="282" t="s">
        <v>1507</v>
      </c>
      <c r="D5" s="282">
        <v>1</v>
      </c>
      <c r="E5" s="285"/>
      <c r="F5" s="283" t="s">
        <v>1846</v>
      </c>
      <c r="G5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5" s="277">
        <v>44124</v>
      </c>
      <c r="I5" s="286" t="s">
        <v>1641</v>
      </c>
      <c r="J5" s="274" t="s">
        <v>1641</v>
      </c>
      <c r="K5" s="278" t="str">
        <f>IF(VAP100AE[[#This Row],[Type]]="VAP100A",IF(VAP100AE[[#This Row],[TP0054]]="PASS",IF(G5=0,IF(G5="","",F5),""),""),"")</f>
        <v/>
      </c>
      <c r="L5" s="276" t="str">
        <f>IF(VAP100AE[[#This Row],[Type]]="VAP100E",IF(VAP100AE[[#This Row],[TP0054]]="PASS",IF(G5=0,IF(G5="","",F5),""),""),"")</f>
        <v/>
      </c>
      <c r="M5" s="294">
        <v>41883</v>
      </c>
      <c r="N5" s="274">
        <v>111111</v>
      </c>
      <c r="O5" s="274" t="s">
        <v>564</v>
      </c>
      <c r="P5" s="274"/>
      <c r="Q5" s="274"/>
      <c r="R5" s="289" t="s">
        <v>1847</v>
      </c>
      <c r="S5" s="276">
        <f>IF(AND(COUNTIF(Assembly[Membrane SN],Membranes[[#This Row],[Sub-contractor SN]])=1,Membranes[[#This Row],[QAI0006]]="PASS"),1,0)</f>
        <v>1</v>
      </c>
      <c r="T5" s="277">
        <v>44131</v>
      </c>
      <c r="U5" s="274" t="s">
        <v>1641</v>
      </c>
      <c r="V5" s="274" t="s">
        <v>1641</v>
      </c>
      <c r="W5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 s="283" t="s">
        <v>1829</v>
      </c>
      <c r="Z5" s="294">
        <v>44134</v>
      </c>
      <c r="AA5" s="283" t="s">
        <v>1850</v>
      </c>
      <c r="AB5" s="284" t="s">
        <v>1849</v>
      </c>
      <c r="AC5" s="274" t="s">
        <v>1787</v>
      </c>
      <c r="AD5" s="274" t="s">
        <v>1846</v>
      </c>
      <c r="AE5" s="274" t="s">
        <v>1641</v>
      </c>
      <c r="AF5" s="274" t="s">
        <v>1641</v>
      </c>
      <c r="AG5" s="276">
        <f>IF(AND(COUNTIF(VAP_Destination[ID/SN],Assembly[[#This Row],[ID]])=1,Assembly[[#This Row],[TP0094/96]]="PASS",Assembly[[#This Row],[QAI0008/9]]="PASS"),1,0)</f>
        <v>1</v>
      </c>
      <c r="AH5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5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5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5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5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5" s="232">
        <v>1</v>
      </c>
      <c r="AN5" s="229" t="s">
        <v>1850</v>
      </c>
      <c r="AO5" s="229" t="s">
        <v>1839</v>
      </c>
      <c r="AP5" s="229" t="s">
        <v>1829</v>
      </c>
      <c r="AQ5" s="230" t="s">
        <v>1840</v>
      </c>
      <c r="AR5" s="230" t="s">
        <v>1841</v>
      </c>
      <c r="AS5" s="230" t="s">
        <v>1853</v>
      </c>
      <c r="AT5" s="310">
        <v>44138</v>
      </c>
      <c r="AU5" s="231" t="s">
        <v>1843</v>
      </c>
      <c r="AV5" s="231"/>
      <c r="AW5" s="233" t="s">
        <v>1854</v>
      </c>
    </row>
    <row r="6" spans="1:49" s="34" customFormat="1" ht="25.5" x14ac:dyDescent="0.2">
      <c r="A6" s="294">
        <v>43808</v>
      </c>
      <c r="B6" s="287" t="s">
        <v>1784</v>
      </c>
      <c r="C6" s="288" t="s">
        <v>1507</v>
      </c>
      <c r="D6" s="288"/>
      <c r="E6" s="288"/>
      <c r="F6" s="283" t="s">
        <v>1785</v>
      </c>
      <c r="G6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6" s="277">
        <v>44124</v>
      </c>
      <c r="I6" s="274" t="s">
        <v>1641</v>
      </c>
      <c r="J6" s="274" t="s">
        <v>1641</v>
      </c>
      <c r="K6" s="278" t="str">
        <f>IF(VAP100AE[[#This Row],[Type]]="VAP100A",IF(VAP100AE[[#This Row],[TP0054]]="PASS",IF(G6=0,IF(G6="","",F6),""),""),"")</f>
        <v/>
      </c>
      <c r="L6" s="276" t="str">
        <f>IF(VAP100AE[[#This Row],[Type]]="VAP100E",IF(VAP100AE[[#This Row],[TP0054]]="PASS",IF(G6=0,IF(G6="","",F6),""),""),"")</f>
        <v/>
      </c>
      <c r="M6" s="294">
        <v>41883</v>
      </c>
      <c r="N6" s="274">
        <v>111111</v>
      </c>
      <c r="O6" s="274" t="s">
        <v>564</v>
      </c>
      <c r="P6" s="274"/>
      <c r="Q6" s="274"/>
      <c r="R6" s="275" t="s">
        <v>1848</v>
      </c>
      <c r="S6" s="276">
        <f>IF(AND(COUNTIF(Assembly[Membrane SN],Membranes[[#This Row],[Sub-contractor SN]])=1,Membranes[[#This Row],[QAI0006]]="PASS"),1,0)</f>
        <v>1</v>
      </c>
      <c r="T6" s="277">
        <v>44131</v>
      </c>
      <c r="U6" s="274" t="s">
        <v>1641</v>
      </c>
      <c r="V6" s="274" t="s">
        <v>1641</v>
      </c>
      <c r="W6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6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6" s="283" t="s">
        <v>1851</v>
      </c>
      <c r="Z6" s="294">
        <v>44134</v>
      </c>
      <c r="AA6" s="283" t="s">
        <v>1850</v>
      </c>
      <c r="AB6" s="284" t="s">
        <v>1848</v>
      </c>
      <c r="AC6" s="274" t="s">
        <v>1788</v>
      </c>
      <c r="AD6" s="274" t="s">
        <v>1785</v>
      </c>
      <c r="AE6" s="274" t="s">
        <v>1641</v>
      </c>
      <c r="AF6" s="274" t="s">
        <v>1641</v>
      </c>
      <c r="AG6" s="276">
        <f>IF(AND(COUNTIF(VAP_Destination[ID/SN],Assembly[[#This Row],[ID]])=1,Assembly[[#This Row],[TP0094/96]]="PASS",Assembly[[#This Row],[QAI0008/9]]="PASS"),1,0)</f>
        <v>1</v>
      </c>
      <c r="AH6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6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6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6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6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6" s="232">
        <v>2</v>
      </c>
      <c r="AN6" s="229" t="s">
        <v>1850</v>
      </c>
      <c r="AO6" s="229" t="s">
        <v>1839</v>
      </c>
      <c r="AP6" s="229" t="s">
        <v>1851</v>
      </c>
      <c r="AQ6" s="230" t="s">
        <v>1840</v>
      </c>
      <c r="AR6" s="230" t="s">
        <v>1841</v>
      </c>
      <c r="AS6" s="230" t="s">
        <v>1853</v>
      </c>
      <c r="AT6" s="310">
        <v>44138</v>
      </c>
      <c r="AU6" s="231" t="s">
        <v>1843</v>
      </c>
      <c r="AV6" s="231"/>
      <c r="AW6" s="233" t="s">
        <v>1855</v>
      </c>
    </row>
    <row r="7" spans="1:49" s="34" customFormat="1" ht="25.5" x14ac:dyDescent="0.2">
      <c r="A7" s="294">
        <v>43808</v>
      </c>
      <c r="B7" s="287" t="s">
        <v>1784</v>
      </c>
      <c r="C7" s="288" t="s">
        <v>1507</v>
      </c>
      <c r="D7" s="288"/>
      <c r="E7" s="288"/>
      <c r="F7" s="283" t="s">
        <v>1786</v>
      </c>
      <c r="G7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7" s="277">
        <v>44124</v>
      </c>
      <c r="I7" s="274" t="s">
        <v>1641</v>
      </c>
      <c r="J7" s="274" t="s">
        <v>1641</v>
      </c>
      <c r="K7" s="278" t="str">
        <f>IF(VAP100AE[[#This Row],[Type]]="VAP100A",IF(VAP100AE[[#This Row],[TP0054]]="PASS",IF(G7=0,IF(G7="","",F7),""),""),"")</f>
        <v/>
      </c>
      <c r="L7" s="276" t="str">
        <f>IF(VAP100AE[[#This Row],[Type]]="VAP100E",IF(VAP100AE[[#This Row],[TP0054]]="PASS",IF(G7=0,IF(G7="","",F7),""),""),"")</f>
        <v/>
      </c>
      <c r="M7" s="294">
        <v>41883</v>
      </c>
      <c r="N7" s="274">
        <v>111111</v>
      </c>
      <c r="O7" s="274" t="s">
        <v>564</v>
      </c>
      <c r="P7" s="274"/>
      <c r="Q7" s="274"/>
      <c r="R7" s="275" t="s">
        <v>1849</v>
      </c>
      <c r="S7" s="276">
        <f>IF(AND(COUNTIF(Assembly[Membrane SN],Membranes[[#This Row],[Sub-contractor SN]])=1,Membranes[[#This Row],[QAI0006]]="PASS"),1,0)</f>
        <v>1</v>
      </c>
      <c r="T7" s="277">
        <v>44131</v>
      </c>
      <c r="U7" s="274" t="s">
        <v>1641</v>
      </c>
      <c r="V7" s="274" t="s">
        <v>1641</v>
      </c>
      <c r="W7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7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7" s="283" t="s">
        <v>1852</v>
      </c>
      <c r="Z7" s="294">
        <v>44134</v>
      </c>
      <c r="AA7" s="283" t="s">
        <v>1850</v>
      </c>
      <c r="AB7" s="284" t="s">
        <v>1847</v>
      </c>
      <c r="AC7" s="274" t="s">
        <v>1786</v>
      </c>
      <c r="AD7" s="274" t="s">
        <v>1789</v>
      </c>
      <c r="AE7" s="274" t="s">
        <v>1641</v>
      </c>
      <c r="AF7" s="274" t="s">
        <v>1641</v>
      </c>
      <c r="AG7" s="276">
        <f>IF(AND(COUNTIF(VAP_Destination[ID/SN],Assembly[[#This Row],[ID]])=1,Assembly[[#This Row],[TP0094/96]]="PASS",Assembly[[#This Row],[QAI0008/9]]="PASS"),1,0)</f>
        <v>1</v>
      </c>
      <c r="AH7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7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7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7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7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7" s="232">
        <v>3</v>
      </c>
      <c r="AN7" s="229" t="s">
        <v>1850</v>
      </c>
      <c r="AO7" s="229" t="s">
        <v>1839</v>
      </c>
      <c r="AP7" s="229" t="s">
        <v>1852</v>
      </c>
      <c r="AQ7" s="230" t="s">
        <v>1840</v>
      </c>
      <c r="AR7" s="230" t="s">
        <v>1841</v>
      </c>
      <c r="AS7" s="230" t="s">
        <v>1853</v>
      </c>
      <c r="AT7" s="310">
        <v>44138</v>
      </c>
      <c r="AU7" s="231" t="s">
        <v>1843</v>
      </c>
      <c r="AV7" s="231"/>
      <c r="AW7" s="233" t="s">
        <v>1856</v>
      </c>
    </row>
    <row r="8" spans="1:49" s="34" customFormat="1" x14ac:dyDescent="0.2">
      <c r="A8" s="294">
        <v>43808</v>
      </c>
      <c r="B8" s="287" t="s">
        <v>1784</v>
      </c>
      <c r="C8" s="288" t="s">
        <v>1507</v>
      </c>
      <c r="D8" s="288"/>
      <c r="E8" s="288"/>
      <c r="F8" s="283" t="s">
        <v>1787</v>
      </c>
      <c r="G8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8" s="277">
        <v>44124</v>
      </c>
      <c r="I8" s="274" t="s">
        <v>1641</v>
      </c>
      <c r="J8" s="274" t="s">
        <v>1641</v>
      </c>
      <c r="K8" s="278" t="str">
        <f>IF(VAP100AE[[#This Row],[Type]]="VAP100A",IF(VAP100AE[[#This Row],[TP0054]]="PASS",IF(G8=0,IF(G8="","",F8),""),""),"")</f>
        <v/>
      </c>
      <c r="L8" s="276" t="str">
        <f>IF(VAP100AE[[#This Row],[Type]]="VAP100E",IF(VAP100AE[[#This Row],[TP0054]]="PASS",IF(G8=0,IF(G8="","",F8),""),""),"")</f>
        <v/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</row>
    <row r="9" spans="1:49" x14ac:dyDescent="0.2">
      <c r="A9" s="294">
        <v>43808</v>
      </c>
      <c r="B9" s="287" t="s">
        <v>1784</v>
      </c>
      <c r="C9" s="288" t="s">
        <v>1507</v>
      </c>
      <c r="D9" s="288"/>
      <c r="E9" s="288"/>
      <c r="F9" s="283" t="s">
        <v>1788</v>
      </c>
      <c r="G9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9" s="277">
        <v>44124</v>
      </c>
      <c r="I9" s="274" t="s">
        <v>1641</v>
      </c>
      <c r="J9" s="274" t="s">
        <v>1641</v>
      </c>
      <c r="K9" s="278" t="str">
        <f>IF(VAP100AE[[#This Row],[Type]]="VAP100A",IF(VAP100AE[[#This Row],[TP0054]]="PASS",IF(G9=0,IF(G9="","",F9),""),""),"")</f>
        <v/>
      </c>
      <c r="L9" s="276" t="str">
        <f>IF(VAP100AE[[#This Row],[Type]]="VAP100E",IF(VAP100AE[[#This Row],[TP0054]]="PASS",IF(G9=0,IF(G9="","",F9),""),""),"")</f>
        <v/>
      </c>
      <c r="M9"/>
      <c r="R9"/>
      <c r="T9"/>
      <c r="Z9"/>
      <c r="AB9"/>
      <c r="AT9"/>
    </row>
    <row r="10" spans="1:49" x14ac:dyDescent="0.2">
      <c r="A10" s="294">
        <v>43808</v>
      </c>
      <c r="B10" s="287" t="s">
        <v>1784</v>
      </c>
      <c r="C10" s="288" t="s">
        <v>1507</v>
      </c>
      <c r="D10" s="288"/>
      <c r="E10" s="288"/>
      <c r="F10" s="283" t="s">
        <v>1789</v>
      </c>
      <c r="G10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10" s="277">
        <v>44124</v>
      </c>
      <c r="I10" s="274" t="s">
        <v>1641</v>
      </c>
      <c r="J10" s="274" t="s">
        <v>1641</v>
      </c>
      <c r="K10" s="278" t="str">
        <f>IF(VAP100AE[[#This Row],[Type]]="VAP100A",IF(VAP100AE[[#This Row],[TP0054]]="PASS",IF(G10=0,IF(G10="","",F10),""),""),"")</f>
        <v/>
      </c>
      <c r="L10" s="276" t="str">
        <f>IF(VAP100AE[[#This Row],[Type]]="VAP100E",IF(VAP100AE[[#This Row],[TP0054]]="PASS",IF(G10=0,IF(G10="","",F10),""),""),"")</f>
        <v/>
      </c>
      <c r="M10"/>
      <c r="R10"/>
      <c r="T10"/>
      <c r="Z10"/>
      <c r="AB10"/>
      <c r="AT10"/>
    </row>
    <row r="11" spans="1:49" x14ac:dyDescent="0.2">
      <c r="A11"/>
      <c r="G11"/>
      <c r="H11"/>
      <c r="M11"/>
      <c r="R11"/>
      <c r="T11"/>
      <c r="Z11"/>
      <c r="AB11"/>
      <c r="AT11"/>
    </row>
    <row r="12" spans="1:49" x14ac:dyDescent="0.2">
      <c r="A12"/>
      <c r="G12"/>
      <c r="H12"/>
      <c r="M12"/>
      <c r="R12"/>
      <c r="T12"/>
      <c r="Z12"/>
      <c r="AB12"/>
    </row>
    <row r="13" spans="1:49" x14ac:dyDescent="0.2">
      <c r="A13"/>
      <c r="G13"/>
      <c r="H13"/>
      <c r="M13"/>
      <c r="R13"/>
      <c r="T13"/>
      <c r="Z13"/>
      <c r="AB13"/>
    </row>
    <row r="14" spans="1:49" x14ac:dyDescent="0.2">
      <c r="A14"/>
      <c r="G14"/>
      <c r="H14"/>
      <c r="R14"/>
      <c r="AB14"/>
    </row>
    <row r="15" spans="1:49" x14ac:dyDescent="0.2">
      <c r="A15"/>
      <c r="G15"/>
      <c r="H15"/>
      <c r="R15"/>
    </row>
    <row r="16" spans="1:49" x14ac:dyDescent="0.2">
      <c r="A16"/>
      <c r="G16"/>
      <c r="H16"/>
      <c r="R16"/>
    </row>
    <row r="17" spans="1:18" x14ac:dyDescent="0.2">
      <c r="A17"/>
      <c r="G17"/>
      <c r="H17"/>
      <c r="R17"/>
    </row>
    <row r="18" spans="1:18" x14ac:dyDescent="0.2">
      <c r="G18"/>
    </row>
    <row r="19" spans="1:18" x14ac:dyDescent="0.2">
      <c r="G19"/>
    </row>
    <row r="20" spans="1:18" x14ac:dyDescent="0.2">
      <c r="G20"/>
    </row>
    <row r="21" spans="1:18" x14ac:dyDescent="0.2">
      <c r="G21"/>
    </row>
    <row r="22" spans="1:18" x14ac:dyDescent="0.2">
      <c r="G22"/>
    </row>
    <row r="23" spans="1:18" x14ac:dyDescent="0.2">
      <c r="G23"/>
    </row>
    <row r="24" spans="1:18" x14ac:dyDescent="0.2">
      <c r="G24"/>
    </row>
    <row r="25" spans="1:18" x14ac:dyDescent="0.2">
      <c r="G25"/>
    </row>
    <row r="26" spans="1:18" x14ac:dyDescent="0.2">
      <c r="G26"/>
    </row>
    <row r="27" spans="1:18" x14ac:dyDescent="0.2">
      <c r="G27"/>
    </row>
    <row r="28" spans="1:18" x14ac:dyDescent="0.2">
      <c r="G28"/>
    </row>
    <row r="29" spans="1:18" x14ac:dyDescent="0.2">
      <c r="G29"/>
    </row>
    <row r="30" spans="1:18" x14ac:dyDescent="0.2">
      <c r="G30"/>
    </row>
    <row r="31" spans="1:18" x14ac:dyDescent="0.2">
      <c r="G31"/>
    </row>
    <row r="32" spans="1:18" x14ac:dyDescent="0.2">
      <c r="G32"/>
    </row>
    <row r="33" spans="7:49" x14ac:dyDescent="0.2">
      <c r="G33"/>
    </row>
    <row r="34" spans="7:49" x14ac:dyDescent="0.2">
      <c r="G34"/>
    </row>
    <row r="35" spans="7:49" x14ac:dyDescent="0.2">
      <c r="G35"/>
    </row>
    <row r="36" spans="7:49" x14ac:dyDescent="0.2">
      <c r="G36"/>
    </row>
    <row r="37" spans="7:49" x14ac:dyDescent="0.2">
      <c r="G37"/>
    </row>
    <row r="38" spans="7:49" x14ac:dyDescent="0.2">
      <c r="G38"/>
      <c r="M38" s="296"/>
      <c r="N38" s="34"/>
      <c r="O38" s="34"/>
      <c r="P38" s="34"/>
      <c r="Q38" s="34"/>
      <c r="R38" s="227"/>
      <c r="S38" s="34"/>
      <c r="T38" s="296"/>
      <c r="U38" s="34"/>
      <c r="V38" s="34"/>
      <c r="W38" s="34"/>
      <c r="X38" s="34"/>
    </row>
    <row r="39" spans="7:49" x14ac:dyDescent="0.2">
      <c r="M39" s="296"/>
      <c r="N39" s="34"/>
      <c r="O39" s="34"/>
      <c r="P39" s="34"/>
      <c r="Q39" s="34"/>
      <c r="R39" s="227"/>
      <c r="S39" s="34"/>
      <c r="T39" s="296"/>
      <c r="U39" s="34"/>
      <c r="V39" s="34"/>
      <c r="W39" s="34"/>
      <c r="X39" s="34"/>
    </row>
    <row r="40" spans="7:49" x14ac:dyDescent="0.2">
      <c r="M40" s="296"/>
      <c r="N40" s="34"/>
      <c r="O40" s="34"/>
      <c r="P40" s="34"/>
      <c r="Q40" s="34"/>
      <c r="R40" s="227"/>
      <c r="S40" s="34"/>
      <c r="T40" s="296"/>
      <c r="U40" s="34"/>
      <c r="V40" s="34"/>
      <c r="W40" s="34"/>
      <c r="X40" s="34"/>
    </row>
    <row r="41" spans="7:49" x14ac:dyDescent="0.2">
      <c r="M41" s="296"/>
      <c r="N41" s="34"/>
      <c r="O41" s="34"/>
      <c r="P41" s="34"/>
      <c r="Q41" s="34"/>
      <c r="R41" s="227"/>
      <c r="S41" s="34"/>
      <c r="T41" s="296"/>
      <c r="U41" s="34"/>
      <c r="V41" s="34"/>
      <c r="W41" s="34"/>
      <c r="X41" s="34"/>
    </row>
    <row r="42" spans="7:49" x14ac:dyDescent="0.2">
      <c r="M42" s="296"/>
      <c r="N42" s="34"/>
      <c r="O42" s="34"/>
      <c r="P42" s="34"/>
      <c r="Q42" s="34"/>
      <c r="R42" s="227"/>
      <c r="S42" s="34"/>
      <c r="T42" s="296"/>
      <c r="U42" s="34"/>
      <c r="V42" s="34"/>
      <c r="W42" s="34"/>
      <c r="X42" s="34"/>
    </row>
    <row r="43" spans="7:49" x14ac:dyDescent="0.2">
      <c r="M43" s="296"/>
      <c r="N43" s="34"/>
      <c r="O43" s="34"/>
      <c r="P43" s="34"/>
      <c r="Q43" s="34"/>
      <c r="R43" s="227"/>
      <c r="S43" s="34"/>
      <c r="T43" s="296"/>
      <c r="U43" s="34"/>
      <c r="V43" s="34"/>
      <c r="W43" s="34"/>
      <c r="X43" s="34"/>
    </row>
    <row r="44" spans="7:49" x14ac:dyDescent="0.2">
      <c r="M44" s="296"/>
      <c r="N44" s="34"/>
      <c r="O44" s="34"/>
      <c r="P44" s="34"/>
      <c r="Q44" s="34"/>
      <c r="R44" s="227"/>
      <c r="S44" s="34"/>
      <c r="T44" s="296"/>
      <c r="U44" s="34"/>
      <c r="V44" s="34"/>
      <c r="W44" s="34"/>
      <c r="X44" s="34"/>
    </row>
    <row r="45" spans="7:49" x14ac:dyDescent="0.2">
      <c r="M45" s="296"/>
      <c r="N45" s="34"/>
      <c r="O45" s="34"/>
      <c r="P45" s="34"/>
      <c r="Q45" s="34"/>
      <c r="R45" s="227"/>
      <c r="S45" s="34"/>
      <c r="T45" s="296"/>
      <c r="U45" s="34"/>
      <c r="V45" s="34"/>
      <c r="W45" s="34"/>
      <c r="X45" s="34"/>
    </row>
    <row r="46" spans="7:49" x14ac:dyDescent="0.2">
      <c r="M46" s="296"/>
      <c r="N46" s="34"/>
      <c r="O46" s="34"/>
      <c r="P46" s="34"/>
      <c r="Q46" s="34"/>
      <c r="R46" s="227"/>
      <c r="S46" s="34"/>
      <c r="T46" s="296"/>
      <c r="U46" s="34"/>
      <c r="V46" s="34"/>
      <c r="W46" s="34"/>
      <c r="X46" s="34"/>
    </row>
    <row r="47" spans="7:49" x14ac:dyDescent="0.2">
      <c r="M47" s="296"/>
      <c r="N47" s="34"/>
      <c r="O47" s="34"/>
      <c r="P47" s="34"/>
      <c r="Q47" s="34"/>
      <c r="R47" s="227"/>
      <c r="S47" s="34"/>
      <c r="T47" s="296"/>
      <c r="U47" s="34"/>
      <c r="V47" s="34"/>
      <c r="W47" s="34"/>
      <c r="X47" s="34"/>
    </row>
    <row r="48" spans="7:49" x14ac:dyDescent="0.2">
      <c r="M48" s="296"/>
      <c r="N48" s="34"/>
      <c r="O48" s="34"/>
      <c r="P48" s="34"/>
      <c r="Q48" s="34"/>
      <c r="R48" s="227"/>
      <c r="S48" s="34"/>
      <c r="T48" s="296"/>
      <c r="U48" s="34"/>
      <c r="V48" s="34"/>
      <c r="W48" s="34"/>
      <c r="X48" s="34"/>
      <c r="AM48" s="34"/>
      <c r="AO48" s="34"/>
      <c r="AP48" s="34"/>
      <c r="AQ48" s="34"/>
      <c r="AR48" s="34"/>
      <c r="AS48" s="34"/>
      <c r="AT48" s="296"/>
      <c r="AU48" s="34"/>
      <c r="AV48" s="34"/>
      <c r="AW48" s="34"/>
    </row>
    <row r="49" spans="23:49" x14ac:dyDescent="0.2">
      <c r="AM49" s="34"/>
      <c r="AN49" s="34"/>
      <c r="AO49" s="34"/>
      <c r="AP49" s="34"/>
      <c r="AQ49" s="34"/>
      <c r="AR49" s="34"/>
      <c r="AS49" s="34"/>
      <c r="AT49" s="296"/>
      <c r="AU49" s="34"/>
      <c r="AV49" s="34"/>
      <c r="AW49" s="34"/>
    </row>
    <row r="50" spans="23:49" x14ac:dyDescent="0.2">
      <c r="AM50" s="34"/>
      <c r="AN50" s="34"/>
      <c r="AO50" s="34"/>
      <c r="AP50" s="34"/>
      <c r="AQ50" s="34"/>
      <c r="AR50" s="34"/>
      <c r="AS50" s="34"/>
      <c r="AT50" s="296"/>
      <c r="AU50" s="34"/>
      <c r="AV50" s="34"/>
      <c r="AW50" s="34"/>
    </row>
    <row r="51" spans="23:49" x14ac:dyDescent="0.2">
      <c r="Y51" s="34"/>
      <c r="Z51" s="296"/>
      <c r="AA51" s="34"/>
      <c r="AB51" s="268"/>
      <c r="AC51" s="166"/>
      <c r="AD51" s="166"/>
      <c r="AE51" s="166"/>
      <c r="AF51" s="166"/>
      <c r="AG51" s="171"/>
      <c r="AH51" s="167"/>
      <c r="AI51" s="167"/>
      <c r="AJ51" s="167"/>
      <c r="AK51" s="171"/>
      <c r="AL51" s="171"/>
      <c r="AM51" s="34"/>
      <c r="AN51" s="34"/>
      <c r="AO51" s="34"/>
      <c r="AP51" s="34"/>
      <c r="AQ51" s="34"/>
      <c r="AR51" s="34"/>
      <c r="AS51" s="34"/>
      <c r="AT51" s="296"/>
      <c r="AU51" s="34"/>
      <c r="AV51" s="34"/>
      <c r="AW51" s="34"/>
    </row>
    <row r="52" spans="23:49" x14ac:dyDescent="0.2">
      <c r="AM52" s="34"/>
      <c r="AN52" s="34"/>
      <c r="AO52" s="34"/>
      <c r="AP52" s="34"/>
      <c r="AQ52" s="34"/>
      <c r="AR52" s="34"/>
      <c r="AS52" s="34"/>
      <c r="AT52" s="296"/>
      <c r="AU52" s="34"/>
      <c r="AV52" s="34"/>
      <c r="AW52" s="34"/>
    </row>
    <row r="53" spans="23:49" x14ac:dyDescent="0.2">
      <c r="AM53" s="34"/>
      <c r="AN53" s="34"/>
      <c r="AO53" s="34"/>
      <c r="AP53" s="34"/>
      <c r="AQ53" s="34"/>
      <c r="AR53" s="34"/>
      <c r="AS53" s="34"/>
      <c r="AT53" s="296"/>
      <c r="AU53" s="34"/>
      <c r="AV53" s="34"/>
      <c r="AW53" s="34"/>
    </row>
    <row r="54" spans="23:49" x14ac:dyDescent="0.2">
      <c r="AM54" s="34"/>
      <c r="AN54" s="34"/>
      <c r="AO54" s="34"/>
      <c r="AP54" s="34"/>
      <c r="AQ54" s="34"/>
      <c r="AR54" s="34"/>
      <c r="AS54" s="34"/>
      <c r="AT54" s="296"/>
      <c r="AU54" s="34"/>
      <c r="AV54" s="34"/>
      <c r="AW54" s="34"/>
    </row>
    <row r="55" spans="23:49" x14ac:dyDescent="0.2">
      <c r="AM55" s="34"/>
      <c r="AN55" s="34"/>
      <c r="AO55" s="34"/>
      <c r="AP55" s="34"/>
      <c r="AQ55" s="34"/>
      <c r="AR55" s="34"/>
      <c r="AS55" s="34"/>
      <c r="AT55" s="296"/>
      <c r="AU55" s="34"/>
      <c r="AV55" s="34"/>
      <c r="AW55" s="34"/>
    </row>
    <row r="56" spans="23:49" x14ac:dyDescent="0.2">
      <c r="AM56" s="34"/>
      <c r="AN56" s="34"/>
      <c r="AO56" s="34"/>
      <c r="AP56" s="34"/>
      <c r="AQ56" s="34"/>
      <c r="AR56" s="34"/>
      <c r="AS56" s="34"/>
      <c r="AT56" s="296"/>
      <c r="AU56" s="34"/>
      <c r="AV56" s="34"/>
      <c r="AW56" s="34"/>
    </row>
    <row r="57" spans="23:49" x14ac:dyDescent="0.2">
      <c r="W57" s="213"/>
      <c r="AM57" s="34"/>
      <c r="AN57" s="34"/>
      <c r="AO57" s="34"/>
      <c r="AP57" s="34"/>
      <c r="AQ57" s="34"/>
      <c r="AR57" s="34"/>
      <c r="AS57" s="34"/>
      <c r="AT57" s="296"/>
      <c r="AU57" s="34"/>
      <c r="AV57" s="34"/>
      <c r="AW57" s="34"/>
    </row>
    <row r="58" spans="23:49" x14ac:dyDescent="0.2">
      <c r="W58" s="213"/>
      <c r="AM58" s="34"/>
      <c r="AN58" s="34"/>
      <c r="AO58" s="34"/>
      <c r="AP58" s="34"/>
      <c r="AQ58" s="34"/>
      <c r="AR58" s="34"/>
      <c r="AS58" s="34"/>
      <c r="AT58" s="296"/>
      <c r="AU58" s="34"/>
      <c r="AV58" s="34"/>
      <c r="AW58" s="34"/>
    </row>
    <row r="59" spans="23:49" x14ac:dyDescent="0.2">
      <c r="W59" s="213"/>
      <c r="AM59" s="34"/>
      <c r="AN59" s="34"/>
      <c r="AO59" s="34"/>
      <c r="AP59" s="34"/>
      <c r="AQ59" s="34"/>
      <c r="AR59" s="34"/>
      <c r="AS59" s="34"/>
      <c r="AT59" s="296"/>
      <c r="AU59" s="34"/>
      <c r="AV59" s="34"/>
      <c r="AW59" s="34"/>
    </row>
    <row r="60" spans="23:49" x14ac:dyDescent="0.2">
      <c r="W60" s="213"/>
    </row>
    <row r="61" spans="23:49" x14ac:dyDescent="0.2">
      <c r="W61" s="213"/>
    </row>
    <row r="62" spans="23:49" x14ac:dyDescent="0.2">
      <c r="W62" s="213"/>
    </row>
    <row r="63" spans="23:49" x14ac:dyDescent="0.2">
      <c r="W63" s="213"/>
    </row>
    <row r="64" spans="23:49" x14ac:dyDescent="0.2">
      <c r="W64" s="213"/>
    </row>
    <row r="65" spans="23:23" x14ac:dyDescent="0.2">
      <c r="W65" s="213"/>
    </row>
    <row r="66" spans="23:23" x14ac:dyDescent="0.2">
      <c r="W66" s="213"/>
    </row>
    <row r="67" spans="23:23" x14ac:dyDescent="0.2">
      <c r="W67" s="213"/>
    </row>
    <row r="68" spans="23:23" x14ac:dyDescent="0.2">
      <c r="W68" s="213"/>
    </row>
    <row r="69" spans="23:23" x14ac:dyDescent="0.2">
      <c r="W69" s="213"/>
    </row>
    <row r="70" spans="23:23" x14ac:dyDescent="0.2">
      <c r="W70" s="213"/>
    </row>
    <row r="71" spans="23:23" x14ac:dyDescent="0.2">
      <c r="W71" s="213"/>
    </row>
    <row r="85" spans="18:18" x14ac:dyDescent="0.2">
      <c r="R85" s="265"/>
    </row>
    <row r="107" spans="1:12" x14ac:dyDescent="0.2">
      <c r="A107" s="296"/>
      <c r="B107" s="225"/>
      <c r="C107" s="225"/>
      <c r="D107" s="34"/>
      <c r="E107" s="34"/>
      <c r="F107" s="171"/>
      <c r="G107" s="235"/>
      <c r="H107" s="298"/>
      <c r="I107" s="166"/>
      <c r="J107" s="194"/>
      <c r="K107" s="194"/>
      <c r="L107" s="171"/>
    </row>
    <row r="108" spans="1:12" x14ac:dyDescent="0.2">
      <c r="A108" s="296"/>
      <c r="B108" s="225"/>
      <c r="C108" s="225"/>
      <c r="D108" s="34"/>
      <c r="E108" s="34"/>
      <c r="F108" s="171"/>
      <c r="G108" s="235"/>
      <c r="H108" s="298"/>
      <c r="I108" s="166"/>
      <c r="J108" s="194"/>
      <c r="K108" s="194"/>
      <c r="L108" s="171"/>
    </row>
    <row r="109" spans="1:12" x14ac:dyDescent="0.2">
      <c r="A109" s="296"/>
      <c r="B109" s="225"/>
      <c r="C109" s="225"/>
      <c r="D109" s="34"/>
      <c r="E109" s="34"/>
      <c r="F109" s="171"/>
      <c r="G109" s="235"/>
      <c r="H109" s="298"/>
      <c r="I109" s="166"/>
      <c r="J109" s="194"/>
      <c r="K109" s="194"/>
      <c r="L109" s="171"/>
    </row>
    <row r="110" spans="1:12" x14ac:dyDescent="0.2">
      <c r="A110" s="296"/>
      <c r="B110" s="225"/>
      <c r="C110" s="225"/>
      <c r="D110" s="226"/>
      <c r="E110" s="226"/>
      <c r="F110" s="171"/>
      <c r="G110" s="235"/>
      <c r="H110" s="298"/>
      <c r="I110" s="166"/>
      <c r="J110" s="194"/>
      <c r="K110" s="194"/>
      <c r="L110" s="171"/>
    </row>
    <row r="111" spans="1:12" x14ac:dyDescent="0.2">
      <c r="A111" s="296"/>
      <c r="B111" s="205"/>
      <c r="C111" s="225"/>
      <c r="D111" s="226"/>
      <c r="E111" s="226"/>
      <c r="F111" s="171"/>
      <c r="G111" s="235"/>
      <c r="H111" s="298"/>
      <c r="I111" s="166"/>
      <c r="J111" s="194"/>
      <c r="K111" s="194"/>
      <c r="L111" s="171"/>
    </row>
    <row r="112" spans="1:12" x14ac:dyDescent="0.2">
      <c r="A112" s="296"/>
      <c r="B112" s="205"/>
      <c r="C112" s="225"/>
      <c r="D112" s="171"/>
      <c r="E112" s="171"/>
      <c r="F112" s="171"/>
      <c r="G112" s="235"/>
      <c r="H112" s="298"/>
      <c r="I112" s="166"/>
      <c r="J112" s="194"/>
      <c r="K112" s="194"/>
      <c r="L112" s="171"/>
    </row>
    <row r="113" spans="1:12" x14ac:dyDescent="0.2">
      <c r="A113" s="296"/>
      <c r="B113" s="205"/>
      <c r="C113" s="225"/>
      <c r="D113" s="226"/>
      <c r="E113" s="226"/>
      <c r="F113" s="171"/>
      <c r="G113" s="235"/>
      <c r="H113" s="298"/>
      <c r="I113" s="166"/>
      <c r="J113" s="194"/>
      <c r="K113" s="194"/>
      <c r="L113" s="171"/>
    </row>
    <row r="114" spans="1:12" x14ac:dyDescent="0.2">
      <c r="A114" s="296"/>
      <c r="B114" s="205"/>
      <c r="C114" s="225"/>
      <c r="D114" s="227"/>
      <c r="E114" s="227"/>
      <c r="F114" s="171"/>
      <c r="G114" s="235"/>
      <c r="H114" s="298"/>
      <c r="I114" s="166"/>
      <c r="J114" s="194"/>
      <c r="K114" s="194"/>
      <c r="L114" s="171"/>
    </row>
    <row r="115" spans="1:12" x14ac:dyDescent="0.2">
      <c r="A115" s="296"/>
      <c r="B115" s="205"/>
      <c r="C115" s="225"/>
      <c r="D115" s="227"/>
      <c r="E115" s="227"/>
      <c r="F115" s="171"/>
      <c r="G115" s="235"/>
      <c r="H115" s="298"/>
      <c r="I115" s="166"/>
      <c r="J115" s="194"/>
      <c r="K115" s="194"/>
      <c r="L115" s="171"/>
    </row>
    <row r="116" spans="1:12" x14ac:dyDescent="0.2">
      <c r="A116" s="296"/>
      <c r="B116" s="205"/>
      <c r="C116" s="225"/>
      <c r="D116" s="227"/>
      <c r="E116" s="227"/>
      <c r="F116" s="171"/>
      <c r="G116" s="235"/>
      <c r="H116" s="298"/>
      <c r="I116" s="166"/>
      <c r="J116" s="194"/>
      <c r="K116" s="194"/>
      <c r="L116" s="171"/>
    </row>
    <row r="117" spans="1:12" x14ac:dyDescent="0.2">
      <c r="A117" s="296"/>
      <c r="B117" s="228"/>
      <c r="C117" s="225"/>
      <c r="D117" s="227"/>
      <c r="E117" s="227"/>
      <c r="F117" s="171"/>
      <c r="G117" s="235"/>
      <c r="H117" s="298"/>
      <c r="I117" s="166"/>
      <c r="J117" s="194"/>
      <c r="K117" s="194"/>
      <c r="L117" s="171"/>
    </row>
    <row r="118" spans="1:12" x14ac:dyDescent="0.2">
      <c r="A118" s="296"/>
      <c r="B118" s="228"/>
      <c r="C118" s="225"/>
      <c r="D118" s="227"/>
      <c r="E118" s="227"/>
      <c r="F118" s="171"/>
      <c r="G118" s="235"/>
      <c r="H118" s="298"/>
      <c r="I118" s="166"/>
      <c r="J118" s="194"/>
      <c r="K118" s="194"/>
      <c r="L118" s="171"/>
    </row>
    <row r="119" spans="1:12" x14ac:dyDescent="0.2">
      <c r="A119" s="296"/>
      <c r="B119" s="228"/>
      <c r="C119" s="225"/>
      <c r="D119" s="227"/>
      <c r="E119" s="227"/>
      <c r="F119" s="171"/>
      <c r="G119" s="235"/>
      <c r="H119" s="298"/>
      <c r="I119" s="166"/>
      <c r="J119" s="194"/>
      <c r="K119" s="194"/>
      <c r="L119" s="171"/>
    </row>
    <row r="120" spans="1:12" x14ac:dyDescent="0.2">
      <c r="A120" s="296"/>
      <c r="B120" s="228"/>
      <c r="C120" s="225"/>
      <c r="D120" s="227"/>
      <c r="E120" s="227"/>
      <c r="F120" s="171"/>
      <c r="G120" s="235"/>
      <c r="H120" s="298"/>
      <c r="I120" s="166"/>
      <c r="J120" s="194"/>
      <c r="K120" s="194"/>
      <c r="L120" s="171"/>
    </row>
  </sheetData>
  <sheetProtection sheet="1" objects="1" scenarios="1"/>
  <dataConsolidate/>
  <mergeCells count="4">
    <mergeCell ref="A1:I2"/>
    <mergeCell ref="M1:X2"/>
    <mergeCell ref="Y1:AL2"/>
    <mergeCell ref="AM1:AW2"/>
  </mergeCells>
  <dataValidations count="16">
    <dataValidation type="list" allowBlank="1" showInputMessage="1" showErrorMessage="1" sqref="AD3:AD4">
      <formula1>"N/A"</formula1>
    </dataValidation>
    <dataValidation type="list" allowBlank="1" showInputMessage="1" showErrorMessage="1" sqref="AE51:AF51 I107:I119 H107:H120 AE3 U3:V3 I3 AE5:AF7 U5:V7 I5:J10">
      <formula1>"UNTESTED,FAIL,PASS"</formula1>
    </dataValidation>
    <dataValidation type="list" allowBlank="1" showInputMessage="1" showErrorMessage="1" sqref="AB51 AB48 AB56">
      <formula1>"PCB-DX3-002"</formula1>
    </dataValidation>
    <dataValidation type="list" operator="equal" allowBlank="1" showInputMessage="1" showErrorMessage="1" sqref="AP63 AF3 AE4:AF4">
      <formula1>"UNTESTED,FAIL"</formula1>
    </dataValidation>
    <dataValidation type="list" allowBlank="1" showInputMessage="1" showErrorMessage="1" sqref="AE48:AE49 K3:K10">
      <formula1>"PCB-A-002,PCB-A-004,PCB-A-006"</formula1>
    </dataValidation>
    <dataValidation type="date" operator="greaterThan" allowBlank="1" showInputMessage="1" showErrorMessage="1" sqref="G140:G151 G107:G120">
      <formula1>36526</formula1>
    </dataValidation>
    <dataValidation type="list" allowBlank="1" showInputMessage="1" showErrorMessage="1" sqref="I120 J3">
      <formula1>"UNTESTED,FAIL"</formula1>
    </dataValidation>
    <dataValidation type="list" allowBlank="1" showInputMessage="1" showErrorMessage="1" sqref="AD5">
      <formula1>"RN/519215/1219/AD"</formula1>
    </dataValidation>
    <dataValidation type="list" allowBlank="1" showInputMessage="1" showErrorMessage="1" sqref="AB7">
      <formula1>"0372"</formula1>
    </dataValidation>
    <dataValidation type="list" allowBlank="1" showInputMessage="1" showErrorMessage="1" sqref="AD7">
      <formula1>"RN/519223/1219/AD"</formula1>
    </dataValidation>
    <dataValidation type="list" allowBlank="1" showInputMessage="1" showErrorMessage="1" sqref="AC7">
      <formula1>"RN/519225/1219/AD,RN/519223/1219/AD"</formula1>
    </dataValidation>
    <dataValidation type="list" allowBlank="1" showInputMessage="1" showErrorMessage="1" sqref="AD6">
      <formula1>"RN/519211/1219/AD,RN/519225/1219/AD,RN/519223/1219/AD"</formula1>
    </dataValidation>
    <dataValidation type="list" allowBlank="1" showInputMessage="1" showErrorMessage="1" sqref="AC6">
      <formula1>"RN/519211/1219/AD,RN/519225/1219/AD,RN/519210/1219/AD,RN/519223/1219/AD"</formula1>
    </dataValidation>
    <dataValidation type="list" allowBlank="1" showInputMessage="1" showErrorMessage="1" sqref="AP7">
      <formula1>"AP0003"</formula1>
    </dataValidation>
    <dataValidation type="list" allowBlank="1" showInputMessage="1" showErrorMessage="1" sqref="AP6">
      <formula1>"AP0002,AP0003"</formula1>
    </dataValidation>
    <dataValidation type="list" allowBlank="1" showInputMessage="1" showErrorMessage="1" sqref="AP5">
      <formula1>"AP0001,AP0002,AP0003"</formula1>
    </dataValidation>
  </dataValidations>
  <pageMargins left="0.7" right="0.7" top="0.75" bottom="0.75" header="0.3" footer="0.3"/>
  <pageSetup paperSize="9" orientation="portrait" r:id="rId1"/>
  <ignoredErrors>
    <ignoredError sqref="AB5:AB7 R5:R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523875</xdr:colOff>
                    <xdr:row>0</xdr:row>
                    <xdr:rowOff>104775</xdr:rowOff>
                  </from>
                  <to>
                    <xdr:col>14</xdr:col>
                    <xdr:colOff>333375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447675</xdr:colOff>
                    <xdr:row>0</xdr:row>
                    <xdr:rowOff>76200</xdr:rowOff>
                  </from>
                  <to>
                    <xdr:col>26</xdr:col>
                    <xdr:colOff>295275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28575</xdr:rowOff>
                  </from>
                  <to>
                    <xdr:col>39</xdr:col>
                    <xdr:colOff>600075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695325</xdr:colOff>
                    <xdr:row>0</xdr:row>
                    <xdr:rowOff>76200</xdr:rowOff>
                  </from>
                  <to>
                    <xdr:col>37</xdr:col>
                    <xdr:colOff>523875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828675</xdr:colOff>
                    <xdr:row>0</xdr:row>
                    <xdr:rowOff>66675</xdr:rowOff>
                  </from>
                  <to>
                    <xdr:col>1</xdr:col>
                    <xdr:colOff>485775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C57" sqref="C57"/>
    </sheetView>
  </sheetViews>
  <sheetFormatPr defaultRowHeight="12.75" x14ac:dyDescent="0.2"/>
  <cols>
    <col min="1" max="1" width="12.140625" customWidth="1"/>
    <col min="2" max="2" width="17.42578125" customWidth="1"/>
    <col min="3" max="5" width="16.140625" customWidth="1"/>
    <col min="6" max="6" width="10.140625" customWidth="1"/>
    <col min="7" max="7" width="10.42578125" customWidth="1"/>
    <col min="8" max="8" width="10.85546875" customWidth="1"/>
    <col min="9" max="9" width="19.85546875" bestFit="1" customWidth="1"/>
    <col min="10" max="10" width="17.140625" customWidth="1"/>
    <col min="11" max="12" width="18.85546875" customWidth="1"/>
    <col min="13" max="13" width="14.85546875" customWidth="1"/>
    <col min="14" max="16" width="10.85546875" customWidth="1"/>
    <col min="17" max="17" width="15.140625" customWidth="1"/>
    <col min="18" max="19" width="11.85546875" customWidth="1"/>
    <col min="20" max="20" width="13.85546875" customWidth="1"/>
    <col min="21" max="21" width="10" customWidth="1"/>
    <col min="22" max="22" width="10" hidden="1" customWidth="1"/>
    <col min="23" max="24" width="10.140625" customWidth="1"/>
    <col min="25" max="25" width="10.140625" hidden="1" customWidth="1"/>
    <col min="26" max="26" width="16.42578125" customWidth="1"/>
    <col min="27" max="27" width="13.140625" customWidth="1"/>
    <col min="28" max="28" width="15.85546875" customWidth="1"/>
    <col min="29" max="29" width="15" customWidth="1"/>
    <col min="30" max="30" width="15.140625" customWidth="1"/>
    <col min="31" max="31" width="14.85546875" customWidth="1"/>
    <col min="32" max="34" width="9.85546875" customWidth="1"/>
    <col min="35" max="35" width="10.140625" customWidth="1"/>
    <col min="36" max="37" width="8.85546875" customWidth="1"/>
    <col min="38" max="38" width="8.85546875" hidden="1" customWidth="1"/>
    <col min="39" max="39" width="11.42578125" customWidth="1"/>
    <col min="40" max="41" width="10.42578125" customWidth="1"/>
    <col min="42" max="42" width="10.85546875" customWidth="1"/>
    <col min="43" max="43" width="10" customWidth="1"/>
    <col min="44" max="44" width="12.85546875" customWidth="1"/>
    <col min="45" max="45" width="10" customWidth="1"/>
    <col min="46" max="46" width="9.42578125" customWidth="1"/>
    <col min="48" max="48" width="10.140625" customWidth="1"/>
    <col min="49" max="49" width="10" customWidth="1"/>
    <col min="51" max="51" width="14.5703125" customWidth="1"/>
    <col min="52" max="52" width="13.140625" customWidth="1"/>
    <col min="53" max="53" width="11.85546875" customWidth="1"/>
    <col min="54" max="54" width="16.85546875" customWidth="1"/>
    <col min="55" max="55" width="13.140625" customWidth="1"/>
    <col min="56" max="56" width="13.85546875" customWidth="1"/>
    <col min="57" max="57" width="14.85546875" customWidth="1"/>
  </cols>
  <sheetData>
    <row r="1" spans="1:57" ht="34.5" customHeight="1" x14ac:dyDescent="0.2">
      <c r="A1" s="345" t="s">
        <v>1610</v>
      </c>
      <c r="B1" s="346"/>
      <c r="C1" s="346"/>
      <c r="D1" s="346"/>
      <c r="E1" s="346"/>
      <c r="F1" s="346"/>
      <c r="G1" s="346"/>
      <c r="H1" s="347"/>
      <c r="I1" s="351" t="s">
        <v>1619</v>
      </c>
      <c r="J1" s="351"/>
      <c r="K1" s="351"/>
      <c r="L1" s="351"/>
      <c r="M1" s="351"/>
      <c r="N1" s="351"/>
      <c r="O1" s="351"/>
      <c r="P1" s="351"/>
      <c r="Q1" s="351"/>
      <c r="R1" s="351"/>
      <c r="S1" s="351"/>
      <c r="T1" s="351"/>
      <c r="U1" s="351"/>
      <c r="V1" s="351"/>
      <c r="W1" s="351"/>
      <c r="X1" s="351"/>
      <c r="Y1" s="351"/>
      <c r="Z1" s="351"/>
      <c r="AA1" s="351"/>
      <c r="AB1" s="351"/>
      <c r="AC1" s="351"/>
      <c r="AD1" s="351"/>
      <c r="AE1" s="351"/>
      <c r="AF1" s="351"/>
      <c r="AG1" s="351"/>
      <c r="AH1" s="351"/>
      <c r="AI1" s="351"/>
      <c r="AJ1" s="352" t="s">
        <v>1632</v>
      </c>
      <c r="AK1" s="353"/>
      <c r="AL1" s="353"/>
      <c r="AM1" s="354"/>
      <c r="AN1" s="354"/>
      <c r="AO1" s="354"/>
      <c r="AP1" s="354"/>
      <c r="AQ1" s="355"/>
      <c r="AR1" s="359" t="s">
        <v>1634</v>
      </c>
      <c r="AS1" s="360"/>
      <c r="AT1" s="360"/>
      <c r="AU1" s="360"/>
      <c r="AV1" s="360"/>
      <c r="AW1" s="360"/>
      <c r="AX1" s="360"/>
      <c r="AY1" s="360"/>
      <c r="AZ1" s="360"/>
      <c r="BA1" s="360"/>
      <c r="BB1" s="361"/>
      <c r="BC1" s="335" t="s">
        <v>1612</v>
      </c>
      <c r="BD1" s="335"/>
      <c r="BE1" s="335"/>
    </row>
    <row r="2" spans="1:57" ht="25.5" customHeight="1" x14ac:dyDescent="0.2">
      <c r="A2" s="348"/>
      <c r="B2" s="349"/>
      <c r="C2" s="349"/>
      <c r="D2" s="349"/>
      <c r="E2" s="349"/>
      <c r="F2" s="349"/>
      <c r="G2" s="349"/>
      <c r="H2" s="350"/>
      <c r="I2" s="339" t="s">
        <v>1617</v>
      </c>
      <c r="J2" s="340"/>
      <c r="K2" s="340"/>
      <c r="L2" s="340"/>
      <c r="M2" s="340"/>
      <c r="N2" s="340"/>
      <c r="O2" s="341"/>
      <c r="P2" s="342" t="s">
        <v>1616</v>
      </c>
      <c r="Q2" s="343"/>
      <c r="R2" s="343"/>
      <c r="S2" s="343"/>
      <c r="T2" s="343"/>
      <c r="U2" s="343"/>
      <c r="V2" s="344"/>
      <c r="W2" s="336" t="s">
        <v>1635</v>
      </c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8"/>
      <c r="AJ2" s="356"/>
      <c r="AK2" s="357"/>
      <c r="AL2" s="357"/>
      <c r="AM2" s="357"/>
      <c r="AN2" s="357"/>
      <c r="AO2" s="357"/>
      <c r="AP2" s="357"/>
      <c r="AQ2" s="358"/>
      <c r="AR2" s="362"/>
      <c r="AS2" s="363"/>
      <c r="AT2" s="363"/>
      <c r="AU2" s="363"/>
      <c r="AV2" s="363"/>
      <c r="AW2" s="363"/>
      <c r="AX2" s="363"/>
      <c r="AY2" s="363"/>
      <c r="AZ2" s="363"/>
      <c r="BA2" s="363"/>
      <c r="BB2" s="364"/>
      <c r="BC2" s="335"/>
      <c r="BD2" s="335"/>
      <c r="BE2" s="335"/>
    </row>
    <row r="3" spans="1:57" s="6" customFormat="1" ht="38.25" x14ac:dyDescent="0.2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1647</v>
      </c>
      <c r="AH3" s="129" t="s">
        <v>1646</v>
      </c>
      <c r="AI3" s="129" t="s">
        <v>1645</v>
      </c>
      <c r="AJ3" s="130" t="s">
        <v>1629</v>
      </c>
      <c r="AK3" s="130" t="s">
        <v>1637</v>
      </c>
      <c r="AL3" s="130" t="s">
        <v>1644</v>
      </c>
      <c r="AM3" s="130" t="s">
        <v>1614</v>
      </c>
      <c r="AN3" s="130" t="s">
        <v>1628</v>
      </c>
      <c r="AO3" s="130" t="s">
        <v>1648</v>
      </c>
      <c r="AP3" s="130" t="s">
        <v>1649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">
      <c r="A4" s="185"/>
      <c r="B4" s="184"/>
      <c r="C4" s="184"/>
      <c r="D4" s="183">
        <f>IF(AND(COUNTIF('VB3'!$AM$4:$AM$4,C4)=1,VB3_PCB[[#This Row],[QAI0001]]="PASS",VB3_PCB[[#This Row],[TP0066]]="PASS"),1,0)</f>
        <v>0</v>
      </c>
      <c r="E4" s="186"/>
      <c r="F4" s="183" t="s">
        <v>1643</v>
      </c>
      <c r="G4" s="183" t="s">
        <v>1643</v>
      </c>
      <c r="H4" s="179" t="str">
        <f t="shared" ref="H4:H9" si="0">IF(G4="PASS",IF(D4=0,IF(D4="","",C4),""),"")</f>
        <v/>
      </c>
      <c r="I4" s="189"/>
      <c r="J4" s="179"/>
      <c r="K4" s="190"/>
      <c r="L4" s="180">
        <f>IF(AND(COUNTIF('VB3'!$AD$4:$AD$4,M4)=1,VB3_Castings[[#This Row],[QAI0002]]="PASS"),1,0)</f>
        <v>0</v>
      </c>
      <c r="M4" s="191"/>
      <c r="N4" s="181" t="s">
        <v>1643</v>
      </c>
      <c r="O4" s="179" t="str">
        <f>IF(N4="PASS",IF(L4=0,IF(L4="","",M4),""),"")</f>
        <v/>
      </c>
      <c r="P4" s="189"/>
      <c r="Q4" s="191"/>
      <c r="R4" s="190"/>
      <c r="S4" s="180">
        <f>IF(AND(COUNTIF('VB3'!$AE$4:$AE$4,T4)=1,VB3_Wellglass[[#This Row],[QAI0003]]="PASS"),1,0)</f>
        <v>0</v>
      </c>
      <c r="T4" s="179"/>
      <c r="U4" s="181" t="s">
        <v>1643</v>
      </c>
      <c r="V4" s="180" t="str">
        <f>IF(U4="PASS",IF(S4=0,IF(S4="","",T4),""),"")</f>
        <v/>
      </c>
      <c r="W4" s="179"/>
      <c r="X4" s="192">
        <f>IF(AND(COUNTIF('VB3'!$AN$4:$AN$4,W4)=1,VB3_Preassembly[[#This Row],[TP0065 Result]]="PASS"),1,0)</f>
        <v>0</v>
      </c>
      <c r="Y4" s="193" t="str">
        <f>IF(AI4="PASS",IF(X4=0,IF(X4="","",W4),""),"")</f>
        <v/>
      </c>
      <c r="Z4" s="181"/>
      <c r="AA4" s="181"/>
      <c r="AB4" s="181"/>
      <c r="AC4" s="181"/>
      <c r="AD4" s="181"/>
      <c r="AE4" s="181"/>
      <c r="AF4" s="181"/>
      <c r="AG4" s="181"/>
      <c r="AH4" s="181"/>
      <c r="AI4" s="181" t="s">
        <v>1643</v>
      </c>
      <c r="AJ4" s="191"/>
      <c r="AK4" s="179">
        <f>IF(AND(COUNTIF('VB3'!$AS$4:$AS$4,AJ4)=1,VB3_Generic_Assembly[[#This Row],[TP0067]]="PASS",VB3_Generic_Assembly[[#This Row],[TP0069]]="PASS",VB3_Generic_Assembly[[#This Row],[QAI0004]]="PASS"),1,0)</f>
        <v>0</v>
      </c>
      <c r="AL4" s="181" t="str">
        <f>IF(AQ4="PASS",IF(AK4=0,IF(AK4="","",AJ4),""),"")</f>
        <v/>
      </c>
      <c r="AM4" s="181"/>
      <c r="AN4" s="181"/>
      <c r="AO4" s="182" t="s">
        <v>1643</v>
      </c>
      <c r="AP4" s="181" t="s">
        <v>1643</v>
      </c>
      <c r="AQ4" s="181" t="s">
        <v>1643</v>
      </c>
      <c r="AR4" s="142"/>
      <c r="AS4" s="142"/>
      <c r="AT4" s="142"/>
      <c r="AU4" s="142"/>
      <c r="AV4" s="142" t="s">
        <v>1643</v>
      </c>
      <c r="AW4" s="142" t="s">
        <v>1643</v>
      </c>
      <c r="BA4" s="142"/>
      <c r="BB4" s="142"/>
      <c r="BC4" s="142"/>
      <c r="BD4" s="142"/>
      <c r="BE4" s="142"/>
    </row>
    <row r="5" spans="1:57" x14ac:dyDescent="0.2">
      <c r="A5" s="210">
        <v>43568</v>
      </c>
      <c r="B5" s="197">
        <v>123456</v>
      </c>
      <c r="C5" s="197">
        <v>456</v>
      </c>
      <c r="D5" s="211">
        <f>IF(AND(COUNTIF('VB3'!$AM$4:$AM$4,C5)=1,VB3_PCB[[#This Row],[QAI0001]]="PASS",VB3_PCB[[#This Row],[TP0066]]="PASS"),1,0)</f>
        <v>0</v>
      </c>
      <c r="E5" s="212">
        <v>43790</v>
      </c>
      <c r="F5" s="198" t="s">
        <v>1641</v>
      </c>
      <c r="G5" s="198" t="s">
        <v>1641</v>
      </c>
      <c r="H5" s="196">
        <f t="shared" si="0"/>
        <v>456</v>
      </c>
      <c r="I5" s="201"/>
      <c r="J5" s="34"/>
      <c r="K5" s="202"/>
      <c r="L5" s="171"/>
      <c r="M5" s="66"/>
      <c r="N5" s="166"/>
      <c r="O5" s="171"/>
      <c r="P5" s="201"/>
      <c r="Q5" s="66"/>
      <c r="R5" s="202"/>
      <c r="S5" s="171"/>
      <c r="T5" s="34"/>
      <c r="U5" s="166"/>
      <c r="V5" s="171"/>
      <c r="W5" s="34"/>
      <c r="X5" s="203"/>
      <c r="Y5" s="204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">
      <c r="A6" s="187">
        <v>43568</v>
      </c>
      <c r="B6" s="174">
        <v>123456</v>
      </c>
      <c r="C6" s="174" t="s">
        <v>1698</v>
      </c>
      <c r="D6" s="175">
        <f>IF(AND(COUNTIF('VB3'!$AM$4:$AM$4,C6)=1,VB3_PCB[[#This Row],[QAI0001]]="PASS",VB3_PCB[[#This Row],[TP0066]]="PASS"),1,0)</f>
        <v>0</v>
      </c>
      <c r="E6" s="188">
        <v>43790</v>
      </c>
      <c r="F6" s="173" t="s">
        <v>1641</v>
      </c>
      <c r="G6" s="173" t="s">
        <v>1642</v>
      </c>
      <c r="H6" s="172" t="str">
        <f t="shared" si="0"/>
        <v/>
      </c>
      <c r="I6" s="201"/>
      <c r="J6" s="34"/>
      <c r="K6" s="202"/>
      <c r="L6" s="171"/>
      <c r="M6" s="66"/>
      <c r="N6" s="166"/>
      <c r="O6" s="171"/>
      <c r="P6" s="201"/>
      <c r="Q6" s="66"/>
      <c r="R6" s="202"/>
      <c r="S6" s="171"/>
      <c r="T6" s="34"/>
      <c r="U6" s="166"/>
      <c r="V6" s="171"/>
      <c r="W6" s="34"/>
      <c r="X6" s="203"/>
      <c r="Y6" s="204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">
      <c r="A7" s="210">
        <v>43568</v>
      </c>
      <c r="B7" s="197">
        <v>123456</v>
      </c>
      <c r="C7" s="197" t="s">
        <v>1699</v>
      </c>
      <c r="D7" s="211">
        <f>IF(AND(COUNTIF('VB3'!$AM$4:$AM$4,C7)=1,VB3_PCB[[#This Row],[QAI0001]]="PASS",VB3_PCB[[#This Row],[TP0066]]="PASS"),1,0)</f>
        <v>0</v>
      </c>
      <c r="E7" s="212">
        <v>43790</v>
      </c>
      <c r="F7" s="198" t="s">
        <v>1641</v>
      </c>
      <c r="G7" s="198" t="s">
        <v>1641</v>
      </c>
      <c r="H7" s="196" t="str">
        <f t="shared" si="0"/>
        <v>JBKOJ</v>
      </c>
      <c r="I7" s="201"/>
      <c r="J7" s="34"/>
      <c r="K7" s="202"/>
      <c r="L7" s="171"/>
      <c r="M7" s="66"/>
      <c r="N7" s="166"/>
      <c r="O7" s="171"/>
      <c r="P7" s="201"/>
      <c r="Q7" s="66"/>
      <c r="R7" s="202"/>
      <c r="S7" s="171"/>
      <c r="T7" s="34"/>
      <c r="U7" s="166"/>
      <c r="V7" s="171"/>
      <c r="W7" s="34"/>
      <c r="X7" s="203"/>
      <c r="Y7" s="204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">
      <c r="A8" s="210">
        <v>43568</v>
      </c>
      <c r="B8" s="197">
        <v>123456</v>
      </c>
      <c r="C8" s="197" t="s">
        <v>1700</v>
      </c>
      <c r="D8" s="211">
        <f>IF(AND(COUNTIF('VB3'!$AM$4:$AM$4,C8)=1,VB3_PCB[[#This Row],[QAI0001]]="PASS",VB3_PCB[[#This Row],[TP0066]]="PASS"),1,0)</f>
        <v>0</v>
      </c>
      <c r="E8" s="212">
        <v>43790</v>
      </c>
      <c r="F8" s="198" t="s">
        <v>1641</v>
      </c>
      <c r="G8" s="198" t="s">
        <v>1641</v>
      </c>
      <c r="H8" s="196" t="str">
        <f t="shared" si="0"/>
        <v>OT-0</v>
      </c>
      <c r="I8" s="201"/>
      <c r="J8" s="34"/>
      <c r="K8" s="202"/>
      <c r="L8" s="171"/>
      <c r="M8" s="66"/>
      <c r="N8" s="166"/>
      <c r="O8" s="171"/>
      <c r="P8" s="201"/>
      <c r="Q8" s="66"/>
      <c r="R8" s="202"/>
      <c r="S8" s="171"/>
      <c r="T8" s="34"/>
      <c r="U8" s="166"/>
      <c r="V8" s="171"/>
      <c r="W8" s="34"/>
      <c r="X8" s="203"/>
      <c r="Y8" s="204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">
      <c r="A9" s="210">
        <v>43568</v>
      </c>
      <c r="B9" s="197">
        <v>123456</v>
      </c>
      <c r="C9" s="197" t="s">
        <v>1701</v>
      </c>
      <c r="D9" s="211">
        <f>IF(AND(COUNTIF('VB3'!$AM$4:$AM$4,C9)=1,VB3_PCB[[#This Row],[QAI0001]]="PASS",VB3_PCB[[#This Row],[TP0066]]="PASS"),1,0)</f>
        <v>0</v>
      </c>
      <c r="E9" s="212">
        <v>43790</v>
      </c>
      <c r="F9" s="198" t="s">
        <v>1641</v>
      </c>
      <c r="G9" s="198" t="s">
        <v>1641</v>
      </c>
      <c r="H9" s="196" t="str">
        <f t="shared" si="0"/>
        <v>JVD</v>
      </c>
      <c r="I9" s="201"/>
      <c r="J9" s="34"/>
      <c r="K9" s="202"/>
      <c r="L9" s="171"/>
      <c r="M9" s="66"/>
      <c r="N9" s="166"/>
      <c r="O9" s="171"/>
      <c r="P9" s="201"/>
      <c r="Q9" s="66"/>
      <c r="R9" s="202"/>
      <c r="S9" s="171"/>
      <c r="T9" s="34"/>
      <c r="U9" s="166"/>
      <c r="V9" s="171"/>
      <c r="W9" s="34"/>
      <c r="X9" s="203"/>
      <c r="Y9" s="205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">
      <c r="A10" s="199"/>
      <c r="B10" s="195"/>
      <c r="C10" s="195"/>
      <c r="D10" s="194"/>
      <c r="E10" s="200"/>
      <c r="F10" s="166"/>
      <c r="G10" s="166"/>
      <c r="H10" s="171"/>
      <c r="I10" s="201"/>
      <c r="J10" s="34"/>
      <c r="K10" s="202"/>
      <c r="L10" s="171"/>
      <c r="M10" s="66"/>
      <c r="N10" s="166"/>
      <c r="O10" s="171"/>
      <c r="P10" s="201"/>
      <c r="Q10" s="66"/>
      <c r="R10" s="202"/>
      <c r="S10" s="171"/>
      <c r="T10" s="34"/>
      <c r="U10" s="166"/>
      <c r="V10" s="171"/>
      <c r="W10" s="34"/>
      <c r="X10" s="203"/>
      <c r="Y10" s="205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">
      <c r="A11" s="199"/>
      <c r="B11" s="195"/>
      <c r="C11" s="195"/>
      <c r="D11" s="194"/>
      <c r="E11" s="200"/>
      <c r="F11" s="166"/>
      <c r="G11" s="166"/>
      <c r="H11" s="171"/>
      <c r="I11" s="201"/>
      <c r="J11" s="34"/>
      <c r="K11" s="200"/>
      <c r="L11" s="171"/>
      <c r="M11" s="66"/>
      <c r="N11" s="166"/>
      <c r="O11" s="171"/>
      <c r="P11" s="201"/>
      <c r="Q11" s="66"/>
      <c r="R11" s="202"/>
      <c r="S11" s="171"/>
      <c r="T11" s="34"/>
      <c r="U11" s="166"/>
      <c r="V11" s="171"/>
      <c r="W11" s="34"/>
      <c r="X11" s="203"/>
      <c r="Y11" s="205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">
      <c r="A12" s="199"/>
      <c r="B12" s="195"/>
      <c r="C12" s="195"/>
      <c r="D12" s="194"/>
      <c r="E12" s="200"/>
      <c r="F12" s="166"/>
      <c r="G12" s="166"/>
      <c r="H12" s="171"/>
      <c r="I12" s="201"/>
      <c r="J12" s="34"/>
      <c r="K12" s="202"/>
      <c r="L12" s="171"/>
      <c r="M12" s="66"/>
      <c r="N12" s="166"/>
      <c r="O12" s="171"/>
      <c r="P12" s="201"/>
      <c r="Q12" s="66"/>
      <c r="R12" s="200"/>
      <c r="S12" s="171"/>
      <c r="T12" s="34"/>
      <c r="U12" s="166"/>
      <c r="V12" s="171"/>
      <c r="W12" s="34"/>
      <c r="X12" s="203"/>
      <c r="Y12" s="205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x14ac:dyDescent="0.2">
      <c r="A13" s="199"/>
      <c r="B13" s="195"/>
      <c r="C13" s="195"/>
      <c r="D13" s="194"/>
      <c r="E13" s="200"/>
      <c r="F13" s="166"/>
      <c r="G13" s="166"/>
      <c r="H13" s="171"/>
      <c r="I13" s="201"/>
      <c r="J13" s="34"/>
      <c r="K13" s="202"/>
      <c r="L13" s="171"/>
      <c r="M13" s="66"/>
      <c r="N13" s="166"/>
      <c r="O13" s="171"/>
      <c r="P13" s="201"/>
      <c r="Q13" s="66"/>
      <c r="R13" s="202"/>
      <c r="S13" s="171"/>
      <c r="T13" s="169"/>
      <c r="U13" s="166"/>
      <c r="V13" s="171"/>
      <c r="W13" s="34"/>
      <c r="X13" s="203"/>
      <c r="Y13" s="205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x14ac:dyDescent="0.2">
      <c r="A14" s="199"/>
      <c r="B14" s="195"/>
      <c r="C14" s="195"/>
      <c r="D14" s="194"/>
      <c r="E14" s="200"/>
      <c r="F14" s="166"/>
      <c r="G14" s="166"/>
      <c r="H14" s="171"/>
      <c r="I14" s="201"/>
      <c r="J14" s="34"/>
      <c r="K14" s="200"/>
      <c r="L14" s="171"/>
      <c r="M14" s="169"/>
      <c r="N14" s="166"/>
      <c r="O14" s="171"/>
      <c r="P14" s="201"/>
      <c r="Q14" s="66"/>
      <c r="R14" s="202"/>
      <c r="S14" s="171"/>
      <c r="T14" s="34"/>
      <c r="U14" s="166"/>
      <c r="V14" s="171"/>
      <c r="W14" s="34"/>
      <c r="X14" s="203"/>
      <c r="Y14" s="205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">
      <c r="A15" s="199"/>
      <c r="B15" s="195"/>
      <c r="C15" s="195"/>
      <c r="D15" s="194"/>
      <c r="E15" s="200"/>
      <c r="F15" s="166"/>
      <c r="G15" s="166"/>
      <c r="H15" s="171"/>
      <c r="I15" s="201"/>
      <c r="J15" s="34"/>
      <c r="K15" s="202"/>
      <c r="L15" s="171"/>
      <c r="M15" s="66"/>
      <c r="N15" s="166"/>
      <c r="O15" s="171"/>
      <c r="P15" s="201"/>
      <c r="Q15" s="66"/>
      <c r="R15" s="202"/>
      <c r="S15" s="171"/>
      <c r="T15" s="34"/>
      <c r="U15" s="166"/>
      <c r="V15" s="171"/>
      <c r="W15" s="34"/>
      <c r="X15" s="203"/>
      <c r="Y15" s="205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">
      <c r="A16" s="199"/>
      <c r="B16" s="195"/>
      <c r="C16" s="195"/>
      <c r="D16" s="194"/>
      <c r="E16" s="200"/>
      <c r="F16" s="166"/>
      <c r="G16" s="166"/>
      <c r="H16" s="171"/>
      <c r="I16" s="201"/>
      <c r="J16" s="34"/>
      <c r="K16" s="202"/>
      <c r="L16" s="171"/>
      <c r="M16" s="66"/>
      <c r="N16" s="166"/>
      <c r="O16" s="171"/>
      <c r="P16" s="201"/>
      <c r="Q16" s="66"/>
      <c r="R16" s="202"/>
      <c r="S16" s="171"/>
      <c r="T16" s="34"/>
      <c r="U16" s="166"/>
      <c r="V16" s="171"/>
      <c r="W16" s="34"/>
      <c r="X16" s="203"/>
      <c r="Y16" s="205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">
      <c r="A17" s="199"/>
      <c r="B17" s="195"/>
      <c r="C17" s="195"/>
      <c r="D17" s="194"/>
      <c r="E17" s="200"/>
      <c r="F17" s="166"/>
      <c r="G17" s="166"/>
      <c r="H17" s="171"/>
      <c r="I17" s="201"/>
      <c r="J17" s="34"/>
      <c r="K17" s="202"/>
      <c r="L17" s="171"/>
      <c r="M17" s="66"/>
      <c r="N17" s="166"/>
      <c r="O17" s="171"/>
      <c r="P17" s="201"/>
      <c r="Q17" s="66"/>
      <c r="R17" s="202"/>
      <c r="S17" s="171"/>
      <c r="T17" s="34"/>
      <c r="U17" s="166"/>
      <c r="V17" s="171"/>
      <c r="W17" s="34"/>
      <c r="X17" s="203"/>
      <c r="Y17" s="205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x14ac:dyDescent="0.2">
      <c r="A18" s="199"/>
      <c r="B18" s="195"/>
      <c r="C18" s="206"/>
      <c r="D18" s="194"/>
      <c r="E18" s="200"/>
      <c r="F18" s="166"/>
      <c r="G18" s="170"/>
      <c r="H18" s="171"/>
      <c r="I18" s="201"/>
      <c r="J18" s="34"/>
      <c r="K18" s="202"/>
      <c r="L18" s="171"/>
      <c r="M18" s="169"/>
      <c r="N18" s="166"/>
      <c r="O18" s="171"/>
      <c r="P18" s="201"/>
      <c r="Q18" s="66"/>
      <c r="R18" s="202"/>
      <c r="S18" s="171"/>
      <c r="T18" s="34"/>
      <c r="U18" s="166"/>
      <c r="V18" s="171"/>
      <c r="W18" s="34"/>
      <c r="X18" s="203"/>
      <c r="Y18" s="205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x14ac:dyDescent="0.2">
      <c r="A19" s="199"/>
      <c r="B19" s="195"/>
      <c r="C19" s="206"/>
      <c r="D19" s="194"/>
      <c r="E19" s="200"/>
      <c r="F19" s="170"/>
      <c r="G19" s="170"/>
      <c r="H19" s="171"/>
      <c r="I19" s="201"/>
      <c r="J19" s="34"/>
      <c r="K19" s="202"/>
      <c r="L19" s="171"/>
      <c r="M19" s="66"/>
      <c r="N19" s="166"/>
      <c r="O19" s="171"/>
      <c r="P19" s="201"/>
      <c r="Q19" s="66"/>
      <c r="R19" s="202"/>
      <c r="S19" s="171"/>
      <c r="T19" s="34"/>
      <c r="U19" s="166"/>
      <c r="V19" s="171"/>
      <c r="W19" s="34"/>
      <c r="X19" s="203"/>
      <c r="Y19" s="205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">
      <c r="A20" s="199"/>
      <c r="B20" s="195"/>
      <c r="C20" s="195"/>
      <c r="D20" s="194"/>
      <c r="E20" s="200"/>
      <c r="F20" s="34"/>
      <c r="G20" s="166"/>
      <c r="H20" s="171"/>
      <c r="I20" s="201"/>
      <c r="J20" s="34"/>
      <c r="K20" s="202"/>
      <c r="L20" s="171"/>
      <c r="M20" s="66"/>
      <c r="N20" s="166"/>
      <c r="O20" s="171"/>
      <c r="P20" s="201"/>
      <c r="Q20" s="66"/>
      <c r="R20" s="202"/>
      <c r="S20" s="171"/>
      <c r="T20" s="34"/>
      <c r="U20" s="166"/>
      <c r="V20" s="171"/>
      <c r="W20" s="34"/>
      <c r="X20" s="203"/>
      <c r="Y20" s="205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">
      <c r="A21" s="199"/>
      <c r="B21" s="195"/>
      <c r="C21" s="195"/>
      <c r="D21" s="194"/>
      <c r="E21" s="200"/>
      <c r="F21" s="166"/>
      <c r="G21" s="166"/>
      <c r="H21" s="171"/>
      <c r="I21" s="201"/>
      <c r="J21" s="34"/>
      <c r="K21" s="202"/>
      <c r="L21" s="171"/>
      <c r="M21" s="66"/>
      <c r="N21" s="166"/>
      <c r="O21" s="171"/>
      <c r="P21" s="201"/>
      <c r="Q21" s="66"/>
      <c r="R21" s="202"/>
      <c r="S21" s="171"/>
      <c r="T21" s="34"/>
      <c r="U21" s="166"/>
      <c r="V21" s="171"/>
      <c r="W21" s="34"/>
      <c r="X21" s="203"/>
      <c r="Y21" s="205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">
      <c r="A22" s="199"/>
      <c r="B22" s="195"/>
      <c r="C22" s="195"/>
      <c r="D22" s="194"/>
      <c r="E22" s="200"/>
      <c r="F22" s="34"/>
      <c r="G22" s="166"/>
      <c r="H22" s="171"/>
      <c r="I22" s="201"/>
      <c r="J22" s="34"/>
      <c r="K22" s="202"/>
      <c r="L22" s="171"/>
      <c r="M22" s="66"/>
      <c r="N22" s="166"/>
      <c r="O22" s="171"/>
      <c r="P22" s="201"/>
      <c r="Q22" s="66"/>
      <c r="R22" s="202"/>
      <c r="S22" s="171"/>
      <c r="T22" s="34"/>
      <c r="U22" s="166"/>
      <c r="V22" s="171"/>
      <c r="W22" s="34"/>
      <c r="X22" s="203"/>
      <c r="Y22" s="205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">
      <c r="A23" s="199"/>
      <c r="B23" s="195"/>
      <c r="C23" s="195"/>
      <c r="D23" s="194"/>
      <c r="E23" s="200"/>
      <c r="F23" s="34"/>
      <c r="G23" s="166"/>
      <c r="H23" s="171"/>
      <c r="I23" s="201"/>
      <c r="J23" s="34"/>
      <c r="K23" s="202"/>
      <c r="L23" s="171"/>
      <c r="M23" s="66"/>
      <c r="N23" s="166"/>
      <c r="O23" s="171"/>
      <c r="P23" s="201"/>
      <c r="Q23" s="66"/>
      <c r="R23" s="202"/>
      <c r="S23" s="171"/>
      <c r="T23" s="34"/>
      <c r="U23" s="166"/>
      <c r="V23" s="171"/>
      <c r="W23" s="34"/>
      <c r="X23" s="203"/>
      <c r="Y23" s="205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">
      <c r="A24" s="199"/>
      <c r="B24" s="195"/>
      <c r="C24" s="195"/>
      <c r="D24" s="194"/>
      <c r="E24" s="200"/>
      <c r="F24" s="166"/>
      <c r="G24" s="166"/>
      <c r="H24" s="171"/>
      <c r="I24" s="201"/>
      <c r="J24" s="34"/>
      <c r="K24" s="202"/>
      <c r="L24" s="171"/>
      <c r="M24" s="66"/>
      <c r="N24" s="166"/>
      <c r="O24" s="171"/>
      <c r="P24" s="201"/>
      <c r="Q24" s="66"/>
      <c r="R24" s="202"/>
      <c r="S24" s="171"/>
      <c r="T24" s="34"/>
      <c r="U24" s="166"/>
      <c r="V24" s="171"/>
      <c r="W24" s="34"/>
      <c r="X24" s="203"/>
      <c r="Y24" s="205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">
      <c r="A25" s="199"/>
      <c r="B25" s="195"/>
      <c r="C25" s="195"/>
      <c r="D25" s="194"/>
      <c r="E25" s="200"/>
      <c r="F25" s="166"/>
      <c r="G25" s="166"/>
      <c r="H25" s="171"/>
      <c r="I25" s="201"/>
      <c r="J25" s="34"/>
      <c r="K25" s="202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3"/>
      <c r="Y25" s="205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">
      <c r="A26" s="199"/>
      <c r="B26" s="195"/>
      <c r="C26" s="195"/>
      <c r="D26" s="194"/>
      <c r="E26" s="200"/>
      <c r="F26" s="166"/>
      <c r="G26" s="166"/>
      <c r="H26" s="171"/>
      <c r="I26" s="201"/>
      <c r="J26" s="34"/>
      <c r="K26" s="202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3"/>
      <c r="Y26" s="205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">
      <c r="A27" s="199"/>
      <c r="B27" s="195"/>
      <c r="C27" s="195"/>
      <c r="D27" s="194"/>
      <c r="E27" s="200"/>
      <c r="F27" s="166"/>
      <c r="G27" s="166"/>
      <c r="H27" s="171"/>
      <c r="I27" s="201"/>
      <c r="J27" s="34"/>
      <c r="K27" s="202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3"/>
      <c r="Y27" s="205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">
      <c r="A28" s="199"/>
      <c r="B28" s="195"/>
      <c r="C28" s="195"/>
      <c r="D28" s="194"/>
      <c r="E28" s="200"/>
      <c r="F28" s="166"/>
      <c r="G28" s="166"/>
      <c r="H28" s="171"/>
      <c r="I28" s="201"/>
      <c r="J28" s="34"/>
      <c r="K28" s="202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3"/>
      <c r="Y28" s="205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">
      <c r="A29" s="199"/>
      <c r="B29" s="195"/>
      <c r="C29" s="195"/>
      <c r="D29" s="194"/>
      <c r="E29" s="200"/>
      <c r="F29" s="166"/>
      <c r="G29" s="166"/>
      <c r="H29" s="171"/>
      <c r="I29" s="201"/>
      <c r="J29" s="34"/>
      <c r="K29" s="202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3"/>
      <c r="Y29" s="203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">
      <c r="A30" s="207"/>
      <c r="B30" s="195"/>
      <c r="C30" s="195"/>
      <c r="D30" s="194"/>
      <c r="E30" s="200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3"/>
      <c r="Y30" s="203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x14ac:dyDescent="0.2">
      <c r="A31" s="207"/>
      <c r="B31" s="195"/>
      <c r="C31" s="206"/>
      <c r="D31" s="194"/>
      <c r="E31" s="200"/>
      <c r="F31" s="195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3"/>
      <c r="Y31" s="203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">
      <c r="A32" s="207"/>
      <c r="B32" s="195"/>
      <c r="C32" s="195"/>
      <c r="D32" s="194"/>
      <c r="E32" s="200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3"/>
      <c r="Y32" s="203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">
      <c r="A33" s="207"/>
      <c r="B33" s="195"/>
      <c r="C33" s="195"/>
      <c r="D33" s="194"/>
      <c r="E33" s="200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3"/>
      <c r="Y33" s="203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">
      <c r="A34" s="207"/>
      <c r="B34" s="195"/>
      <c r="C34" s="195"/>
      <c r="D34" s="194"/>
      <c r="E34" s="200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3"/>
      <c r="Y34" s="203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">
      <c r="A35" s="207"/>
      <c r="B35" s="195"/>
      <c r="C35" s="195"/>
      <c r="D35" s="194"/>
      <c r="E35" s="200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3"/>
      <c r="Y35" s="203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">
      <c r="A36" s="207"/>
      <c r="B36" s="195"/>
      <c r="C36" s="195"/>
      <c r="D36" s="194"/>
      <c r="E36" s="200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3"/>
      <c r="Y36" s="203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">
      <c r="A37" s="207"/>
      <c r="B37" s="195"/>
      <c r="C37" s="195"/>
      <c r="D37" s="194"/>
      <c r="E37" s="200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3"/>
      <c r="Y37" s="203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">
      <c r="A38" s="207"/>
      <c r="B38" s="195"/>
      <c r="C38" s="195"/>
      <c r="D38" s="194"/>
      <c r="E38" s="200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3"/>
      <c r="Y38" s="203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x14ac:dyDescent="0.2">
      <c r="A39" s="207"/>
      <c r="B39" s="195"/>
      <c r="C39" s="206"/>
      <c r="D39" s="194"/>
      <c r="E39" s="200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3"/>
      <c r="Y39" s="203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">
      <c r="A40" s="199"/>
      <c r="B40" s="195"/>
      <c r="C40" s="195"/>
      <c r="D40" s="194"/>
      <c r="E40" s="200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3"/>
      <c r="Y40" s="203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">
      <c r="A41" s="199"/>
      <c r="B41" s="195"/>
      <c r="C41" s="195"/>
      <c r="D41" s="194"/>
      <c r="E41" s="200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3"/>
      <c r="Y41" s="203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x14ac:dyDescent="0.2">
      <c r="A42" s="199"/>
      <c r="B42" s="195"/>
      <c r="C42" s="206"/>
      <c r="D42" s="194"/>
      <c r="E42" s="200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3"/>
      <c r="Y42" s="203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x14ac:dyDescent="0.2">
      <c r="A43" s="199"/>
      <c r="B43" s="195"/>
      <c r="C43" s="206"/>
      <c r="D43" s="194"/>
      <c r="E43" s="200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3"/>
      <c r="Y43" s="203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x14ac:dyDescent="0.2">
      <c r="A44" s="199"/>
      <c r="B44" s="195"/>
      <c r="C44" s="206"/>
      <c r="D44" s="194"/>
      <c r="E44" s="200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3"/>
      <c r="Y44" s="203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">
      <c r="A45" s="207"/>
      <c r="B45" s="195"/>
      <c r="C45" s="195"/>
      <c r="D45" s="194"/>
      <c r="E45" s="200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3"/>
      <c r="Y45" s="203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">
      <c r="A46" s="199"/>
      <c r="B46" s="195"/>
      <c r="C46" s="195"/>
      <c r="D46" s="194"/>
      <c r="E46" s="200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3"/>
      <c r="Y46" s="203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">
      <c r="A47" s="199"/>
      <c r="B47" s="195"/>
      <c r="C47" s="195"/>
      <c r="D47" s="194"/>
      <c r="E47" s="200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3"/>
      <c r="Y47" s="203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">
      <c r="A48" s="199"/>
      <c r="B48" s="195"/>
      <c r="C48" s="195"/>
      <c r="D48" s="194"/>
      <c r="E48" s="200"/>
      <c r="F48" s="166"/>
      <c r="G48" s="166"/>
      <c r="H48" s="171"/>
      <c r="I48" s="20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3"/>
      <c r="Y48" s="203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">
      <c r="A49" s="208"/>
      <c r="B49" s="195"/>
      <c r="C49" s="195"/>
      <c r="D49" s="194"/>
      <c r="E49" s="200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3"/>
      <c r="Y49" s="203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">
      <c r="A50" s="208"/>
      <c r="B50" s="195"/>
      <c r="C50" s="195"/>
      <c r="D50" s="194"/>
      <c r="E50" s="200"/>
      <c r="F50" s="166"/>
      <c r="G50" s="166"/>
      <c r="H50" s="171"/>
      <c r="X50" s="152"/>
      <c r="Y50" s="152"/>
    </row>
    <row r="51" spans="1:57" x14ac:dyDescent="0.2">
      <c r="A51" s="208"/>
      <c r="B51" s="195"/>
      <c r="C51" s="195"/>
      <c r="D51" s="194"/>
      <c r="E51" s="200"/>
      <c r="F51" s="166"/>
      <c r="G51" s="166"/>
      <c r="H51" s="171"/>
      <c r="X51" s="152"/>
      <c r="Y51" s="152"/>
    </row>
    <row r="52" spans="1:57" x14ac:dyDescent="0.2">
      <c r="A52" s="208"/>
      <c r="B52" s="195"/>
      <c r="C52" s="195"/>
      <c r="D52" s="194"/>
      <c r="E52" s="200"/>
      <c r="F52" s="166"/>
      <c r="G52" s="166"/>
      <c r="H52" s="171"/>
      <c r="X52" s="152"/>
      <c r="Y52" s="152"/>
    </row>
    <row r="53" spans="1:57" x14ac:dyDescent="0.2">
      <c r="A53" s="208"/>
      <c r="B53" s="195"/>
      <c r="C53" s="195"/>
      <c r="D53" s="194"/>
      <c r="E53" s="200"/>
      <c r="F53" s="166"/>
      <c r="G53" s="166"/>
      <c r="H53" s="171"/>
      <c r="X53" s="152"/>
      <c r="Y53" s="152"/>
    </row>
    <row r="54" spans="1:57" x14ac:dyDescent="0.2">
      <c r="A54" s="208"/>
      <c r="B54" s="195"/>
      <c r="C54" s="195"/>
      <c r="D54" s="194"/>
      <c r="E54" s="200"/>
      <c r="F54" s="166"/>
      <c r="G54" s="166"/>
      <c r="H54" s="171"/>
      <c r="X54" s="152"/>
      <c r="Y54" s="152"/>
    </row>
    <row r="55" spans="1:57" x14ac:dyDescent="0.2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">
      <c r="A88" s="150"/>
      <c r="B88" s="146"/>
      <c r="C88" s="146"/>
      <c r="D88" s="147"/>
      <c r="E88" s="151"/>
      <c r="F88" s="142"/>
      <c r="G88" s="142"/>
      <c r="H88" s="138"/>
    </row>
    <row r="89" spans="1:8" x14ac:dyDescent="0.2">
      <c r="A89" s="150"/>
      <c r="B89" s="146"/>
      <c r="C89" s="146"/>
      <c r="D89" s="147"/>
      <c r="E89" s="151"/>
      <c r="F89" s="142"/>
      <c r="G89" s="142"/>
      <c r="H89" s="138"/>
    </row>
    <row r="90" spans="1:8" x14ac:dyDescent="0.2">
      <c r="A90" s="150"/>
      <c r="B90" s="146"/>
      <c r="C90" s="146"/>
      <c r="D90" s="147"/>
      <c r="E90" s="151"/>
      <c r="F90" s="142"/>
      <c r="G90" s="142"/>
      <c r="H90" s="138"/>
    </row>
    <row r="91" spans="1:8" x14ac:dyDescent="0.2">
      <c r="A91" s="150"/>
      <c r="B91" s="146"/>
      <c r="C91" s="146"/>
      <c r="D91" s="147"/>
      <c r="E91" s="151"/>
      <c r="F91" s="142"/>
      <c r="G91" s="142"/>
      <c r="H91" s="138"/>
    </row>
    <row r="92" spans="1:8" x14ac:dyDescent="0.2">
      <c r="A92" s="150"/>
      <c r="B92" s="146"/>
      <c r="C92" s="149"/>
      <c r="D92" s="147"/>
      <c r="E92" s="151"/>
      <c r="F92" s="142"/>
      <c r="G92" s="142"/>
      <c r="H92" s="138"/>
    </row>
    <row r="93" spans="1:8" x14ac:dyDescent="0.2">
      <c r="A93" s="150"/>
      <c r="B93" s="146"/>
      <c r="C93" s="149"/>
      <c r="D93" s="147"/>
      <c r="E93" s="151"/>
      <c r="F93" s="142"/>
      <c r="G93" s="142"/>
      <c r="H93" s="138"/>
    </row>
    <row r="94" spans="1:8" x14ac:dyDescent="0.2">
      <c r="A94" s="150"/>
      <c r="B94" s="146"/>
      <c r="C94" s="146"/>
      <c r="D94" s="147"/>
      <c r="E94" s="151"/>
      <c r="F94" s="142"/>
      <c r="G94" s="142"/>
      <c r="H94" s="138"/>
    </row>
    <row r="95" spans="1:8" x14ac:dyDescent="0.2">
      <c r="A95" s="150"/>
      <c r="B95" s="146"/>
      <c r="C95" s="149"/>
      <c r="D95" s="147"/>
      <c r="E95" s="151"/>
      <c r="F95" s="142"/>
      <c r="G95" s="142"/>
      <c r="H95" s="138"/>
    </row>
    <row r="96" spans="1:8" x14ac:dyDescent="0.2">
      <c r="A96" s="150"/>
      <c r="B96" s="146"/>
      <c r="C96" s="146"/>
      <c r="D96" s="147"/>
      <c r="E96" s="151"/>
      <c r="F96" s="142"/>
      <c r="G96" s="142"/>
      <c r="H96" s="138"/>
    </row>
    <row r="97" spans="1:8" x14ac:dyDescent="0.2">
      <c r="A97" s="150"/>
      <c r="B97" s="146"/>
      <c r="C97" s="146"/>
      <c r="D97" s="147"/>
      <c r="E97" s="151"/>
      <c r="F97" s="142"/>
      <c r="G97" s="142"/>
      <c r="H97" s="138"/>
    </row>
    <row r="98" spans="1:8" x14ac:dyDescent="0.2">
      <c r="A98" s="150"/>
      <c r="B98" s="146"/>
      <c r="C98" s="146"/>
      <c r="D98" s="147"/>
      <c r="E98" s="151"/>
      <c r="F98" s="142"/>
      <c r="G98" s="142"/>
      <c r="H98" s="138"/>
    </row>
    <row r="99" spans="1:8" x14ac:dyDescent="0.2">
      <c r="A99" s="150"/>
      <c r="B99" s="146"/>
      <c r="C99" s="146"/>
      <c r="D99" s="147"/>
      <c r="E99" s="151"/>
      <c r="F99" s="142"/>
      <c r="G99" s="142"/>
      <c r="H99" s="138"/>
    </row>
    <row r="100" spans="1:8" x14ac:dyDescent="0.2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">
      <c r="D160" s="138"/>
      <c r="F160" s="144"/>
      <c r="H160" s="138" t="str">
        <f t="shared" si="5"/>
        <v/>
      </c>
    </row>
    <row r="161" spans="4:7" x14ac:dyDescent="0.2">
      <c r="D161" s="144"/>
      <c r="E161" s="144"/>
    </row>
    <row r="164" spans="4:7" x14ac:dyDescent="0.2">
      <c r="D164" s="144"/>
      <c r="E164" s="144"/>
      <c r="F164" s="144"/>
      <c r="G164" s="144"/>
    </row>
    <row r="165" spans="4:7" x14ac:dyDescent="0.2">
      <c r="D165" s="144"/>
      <c r="F165" s="144"/>
    </row>
    <row r="166" spans="4:7" x14ac:dyDescent="0.2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9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 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200025</xdr:colOff>
                    <xdr:row>0</xdr:row>
                    <xdr:rowOff>238125</xdr:rowOff>
                  </from>
                  <to>
                    <xdr:col>1</xdr:col>
                    <xdr:colOff>1019175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104775</xdr:rowOff>
                  </from>
                  <to>
                    <xdr:col>9</xdr:col>
                    <xdr:colOff>390525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16</xdr:col>
                    <xdr:colOff>352425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85725</xdr:rowOff>
                  </from>
                  <to>
                    <xdr:col>23</xdr:col>
                    <xdr:colOff>676275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257175</xdr:rowOff>
                  </from>
                  <to>
                    <xdr:col>38</xdr:col>
                    <xdr:colOff>390525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238125</xdr:rowOff>
                  </from>
                  <to>
                    <xdr:col>45</xdr:col>
                    <xdr:colOff>276225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Automation!#REF!</xm:f>
          </x14:formula1>
          <xm:sqref>AI33:AI39</xm:sqref>
        </x14:dataValidation>
        <x14:dataValidation type="list" allowBlank="1" showInputMessage="1" showErrorMessage="1">
          <x14:formula1>
            <xm:f>Automation!$F$8:$F$8</xm:f>
          </x14:formula1>
          <xm:sqref>AT4</xm:sqref>
        </x14:dataValidation>
        <x14:dataValidation type="list" allowBlank="1" showInputMessage="1" showErrorMessage="1">
          <x14:formula1>
            <xm:f>Automation!$H$8:$H$8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70"/>
  <sheetViews>
    <sheetView tabSelected="1" zoomScale="90" zoomScaleNormal="90" workbookViewId="0">
      <selection activeCell="I8" sqref="I8"/>
    </sheetView>
  </sheetViews>
  <sheetFormatPr defaultColWidth="8.7109375" defaultRowHeight="12.75" x14ac:dyDescent="0.2"/>
  <cols>
    <col min="1" max="1" width="15.5703125" style="305" customWidth="1"/>
    <col min="2" max="2" width="23.7109375" style="213" customWidth="1"/>
    <col min="3" max="4" width="15.5703125" style="213" customWidth="1"/>
    <col min="5" max="5" width="20.7109375" style="213" customWidth="1"/>
    <col min="6" max="6" width="15.5703125" style="213" customWidth="1"/>
    <col min="7" max="7" width="19" style="305" customWidth="1"/>
    <col min="8" max="9" width="15.5703125" style="213" customWidth="1"/>
    <col min="10" max="10" width="20.7109375" style="213" customWidth="1"/>
    <col min="11" max="24" width="15.5703125" style="213" hidden="1" customWidth="1"/>
    <col min="25" max="25" width="15.5703125" style="213" customWidth="1"/>
    <col min="26" max="26" width="15.5703125" style="305" customWidth="1"/>
    <col min="27" max="27" width="18.85546875" style="213" customWidth="1"/>
    <col min="28" max="28" width="18.5703125" style="213" customWidth="1"/>
    <col min="29" max="31" width="15.5703125" style="213" customWidth="1"/>
    <col min="32" max="37" width="20.7109375" style="213" customWidth="1"/>
    <col min="38" max="43" width="15.5703125" style="213" customWidth="1"/>
    <col min="44" max="44" width="17.85546875" style="213" customWidth="1"/>
    <col min="45" max="45" width="15.5703125" style="305" customWidth="1"/>
    <col min="46" max="49" width="15.5703125" style="213" customWidth="1"/>
    <col min="50" max="16384" width="8.7109375" style="213"/>
  </cols>
  <sheetData>
    <row r="1" spans="1:49" x14ac:dyDescent="0.2">
      <c r="A1" s="365" t="s">
        <v>1676</v>
      </c>
      <c r="B1" s="365"/>
      <c r="C1" s="365"/>
      <c r="D1" s="365"/>
      <c r="E1" s="365"/>
      <c r="F1" s="365"/>
      <c r="G1" s="365"/>
      <c r="H1" s="365"/>
      <c r="I1" s="365"/>
      <c r="J1" s="365"/>
      <c r="K1" s="318"/>
      <c r="L1" s="366" t="s">
        <v>1687</v>
      </c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7" t="s">
        <v>1704</v>
      </c>
      <c r="Z1" s="367"/>
      <c r="AA1" s="367"/>
      <c r="AB1" s="367"/>
      <c r="AC1" s="367"/>
      <c r="AD1" s="367"/>
      <c r="AE1" s="367"/>
      <c r="AF1" s="367"/>
      <c r="AG1" s="367"/>
      <c r="AH1" s="367"/>
      <c r="AI1" s="367"/>
      <c r="AJ1" s="367"/>
      <c r="AK1" s="367"/>
      <c r="AL1" s="368" t="s">
        <v>1693</v>
      </c>
      <c r="AM1" s="368"/>
      <c r="AN1" s="368"/>
      <c r="AO1" s="368"/>
      <c r="AP1" s="368"/>
      <c r="AQ1" s="368"/>
      <c r="AR1" s="368"/>
      <c r="AS1" s="368"/>
      <c r="AT1" s="368"/>
      <c r="AU1" s="368"/>
      <c r="AV1" s="368"/>
      <c r="AW1" s="368"/>
    </row>
    <row r="2" spans="1:49" x14ac:dyDescent="0.2">
      <c r="A2" s="365"/>
      <c r="B2" s="365"/>
      <c r="C2" s="365"/>
      <c r="D2" s="365"/>
      <c r="E2" s="365"/>
      <c r="F2" s="365"/>
      <c r="G2" s="365"/>
      <c r="H2" s="365"/>
      <c r="I2" s="365"/>
      <c r="J2" s="365"/>
      <c r="K2" s="318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8"/>
      <c r="AM2" s="368"/>
      <c r="AN2" s="368"/>
      <c r="AO2" s="368"/>
      <c r="AP2" s="368"/>
      <c r="AQ2" s="368"/>
      <c r="AR2" s="368"/>
      <c r="AS2" s="368"/>
      <c r="AT2" s="368"/>
      <c r="AU2" s="368"/>
      <c r="AV2" s="368"/>
      <c r="AW2" s="368"/>
    </row>
    <row r="3" spans="1:49" ht="33" customHeight="1" x14ac:dyDescent="0.2">
      <c r="A3" s="302" t="s">
        <v>692</v>
      </c>
      <c r="B3" s="237" t="s">
        <v>1703</v>
      </c>
      <c r="C3" s="238" t="s">
        <v>1800</v>
      </c>
      <c r="D3" s="238" t="s">
        <v>1801</v>
      </c>
      <c r="E3" s="237" t="s">
        <v>2</v>
      </c>
      <c r="F3" s="237" t="s">
        <v>1637</v>
      </c>
      <c r="G3" s="302" t="s">
        <v>1613</v>
      </c>
      <c r="H3" s="238" t="s">
        <v>1677</v>
      </c>
      <c r="I3" s="238" t="s">
        <v>1678</v>
      </c>
      <c r="J3" s="238" t="s">
        <v>1644</v>
      </c>
      <c r="K3" s="238"/>
      <c r="L3" s="239" t="s">
        <v>692</v>
      </c>
      <c r="M3" s="240" t="s">
        <v>693</v>
      </c>
      <c r="N3" s="239" t="s">
        <v>1679</v>
      </c>
      <c r="O3" s="239" t="s">
        <v>1652</v>
      </c>
      <c r="P3" s="239" t="s">
        <v>1637</v>
      </c>
      <c r="Q3" s="240" t="s">
        <v>1613</v>
      </c>
      <c r="R3" s="241" t="s">
        <v>1680</v>
      </c>
      <c r="S3" s="241" t="s">
        <v>1681</v>
      </c>
      <c r="T3" s="241" t="s">
        <v>1682</v>
      </c>
      <c r="U3" s="241" t="s">
        <v>1683</v>
      </c>
      <c r="V3" s="241" t="s">
        <v>1684</v>
      </c>
      <c r="W3" s="241" t="s">
        <v>1685</v>
      </c>
      <c r="X3" s="241" t="s">
        <v>1686</v>
      </c>
      <c r="Y3" s="242" t="s">
        <v>1657</v>
      </c>
      <c r="Z3" s="306" t="s">
        <v>1694</v>
      </c>
      <c r="AA3" s="242" t="s">
        <v>1652</v>
      </c>
      <c r="AB3" s="242" t="s">
        <v>1688</v>
      </c>
      <c r="AC3" s="242" t="s">
        <v>1689</v>
      </c>
      <c r="AD3" s="215" t="s">
        <v>1680</v>
      </c>
      <c r="AE3" s="215" t="s">
        <v>1637</v>
      </c>
      <c r="AF3" s="215" t="s">
        <v>1696</v>
      </c>
      <c r="AG3" s="215" t="s">
        <v>1682</v>
      </c>
      <c r="AH3" s="215" t="s">
        <v>1683</v>
      </c>
      <c r="AI3" s="215" t="s">
        <v>1684</v>
      </c>
      <c r="AJ3" s="215" t="s">
        <v>1685</v>
      </c>
      <c r="AK3" s="215" t="s">
        <v>1686</v>
      </c>
      <c r="AL3" s="221" t="s">
        <v>1863</v>
      </c>
      <c r="AM3" s="221" t="s">
        <v>1695</v>
      </c>
      <c r="AN3" s="222" t="s">
        <v>1652</v>
      </c>
      <c r="AO3" s="222" t="s">
        <v>1690</v>
      </c>
      <c r="AP3" s="222" t="s">
        <v>1691</v>
      </c>
      <c r="AQ3" s="222" t="s">
        <v>1692</v>
      </c>
      <c r="AR3" s="221" t="s">
        <v>1857</v>
      </c>
      <c r="AS3" s="307" t="s">
        <v>5</v>
      </c>
      <c r="AT3" s="221" t="s">
        <v>1862</v>
      </c>
      <c r="AU3" s="223" t="s">
        <v>195</v>
      </c>
      <c r="AV3" s="221" t="s">
        <v>6</v>
      </c>
    </row>
    <row r="4" spans="1:49" x14ac:dyDescent="0.2">
      <c r="A4" s="303"/>
      <c r="B4" s="183"/>
      <c r="C4" s="183"/>
      <c r="D4" s="183"/>
      <c r="E4" s="183"/>
      <c r="F4" s="183">
        <f>IF(COUNTIFS(VAP01_Assembly[VAP100B SN],VAP100B[[#This Row],[Sub-contractor Serial Number]])=1,IF(AND(VAP100B[[#This Row],[QAI0010]]="PASS",VAP100B[[#This Row],[TP0041]]="PASS"),1,0),0)</f>
        <v>0</v>
      </c>
      <c r="G4" s="292"/>
      <c r="H4" s="181"/>
      <c r="I4" s="181"/>
      <c r="J4" s="183" t="str">
        <f>IF(AND(VAP100B[[#This Row],[QAI0010]]="PASS",VAP100B[[#This Row],[TP0041]]="PASS",VAP100B[[#This Row],[Assigned]]=0),VAP100B[[#This Row],[Sub-contractor Serial Number]],"")</f>
        <v/>
      </c>
      <c r="K4" s="183"/>
      <c r="Y4" s="183"/>
      <c r="Z4" s="303"/>
      <c r="AA4" s="183"/>
      <c r="AB4" s="181"/>
      <c r="AC4" s="181"/>
      <c r="AD4" s="181"/>
      <c r="AE4" s="183">
        <f>IF(AND(COUNTIF(VAP01_Destination[VAP01 ID], VAP01_Assembly[[#This Row],[ID]])=1,VAP01_Assembly[[#This Row],[TP0016]]="PASS",VAP01_Assembly[[#This Row],[QAI0011]]="PASS"),1,0)</f>
        <v>0</v>
      </c>
      <c r="AF4" s="183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3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3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3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3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3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18">
        <v>0</v>
      </c>
      <c r="AM4" s="218"/>
      <c r="AN4" s="219"/>
      <c r="AO4" s="219"/>
      <c r="AP4" s="219"/>
      <c r="AQ4" s="219"/>
      <c r="AR4" s="219"/>
      <c r="AS4" s="308"/>
      <c r="AT4" s="220"/>
      <c r="AU4" s="220"/>
      <c r="AV4" s="220"/>
    </row>
    <row r="5" spans="1:49" ht="63.75" x14ac:dyDescent="0.2">
      <c r="A5" s="277">
        <v>43818</v>
      </c>
      <c r="B5" s="274">
        <v>109281</v>
      </c>
      <c r="C5" s="274"/>
      <c r="D5" s="278"/>
      <c r="E5" s="274" t="s">
        <v>1790</v>
      </c>
      <c r="F5" s="274">
        <f>IF(COUNTIFS(VAP01_Assembly[VAP100B SN],VAP100B[[#This Row],[Sub-contractor Serial Number]])=1,IF(AND(VAP100B[[#This Row],[QAI0010]]="PASS",VAP100B[[#This Row],[TP0041]]="PASS"),1,0),0)</f>
        <v>1</v>
      </c>
      <c r="G5" s="277">
        <v>44124</v>
      </c>
      <c r="H5" s="274" t="s">
        <v>1641</v>
      </c>
      <c r="I5" s="274" t="s">
        <v>1641</v>
      </c>
      <c r="J5" s="278" t="str">
        <f>IF(AND(VAP100B[[#This Row],[QAI0010]]="PASS",VAP100B[[#This Row],[TP0041]]="PASS",VAP100B[[#This Row],[Assigned]]=0),VAP100B[[#This Row],[Sub-contractor Serial Number]],"")</f>
        <v/>
      </c>
      <c r="Y5" s="274" t="s">
        <v>1827</v>
      </c>
      <c r="Z5" s="277">
        <v>44130</v>
      </c>
      <c r="AA5" s="274" t="s">
        <v>623</v>
      </c>
      <c r="AB5" s="274" t="s">
        <v>1790</v>
      </c>
      <c r="AC5" s="274" t="s">
        <v>1641</v>
      </c>
      <c r="AD5" s="274" t="s">
        <v>1641</v>
      </c>
      <c r="AE5" s="278">
        <f>IF(AND(COUNTIF(VAP01_Destination[VAP01 ID], VAP01_Assembly[[#This Row],[ID]])=1,VAP01_Assembly[[#This Row],[TP0016]]="PASS",VAP01_Assembly[[#This Row],[QAI0011]]="PASS"),1,0)</f>
        <v>1</v>
      </c>
      <c r="AF5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5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5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5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5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5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5" s="218">
        <v>1</v>
      </c>
      <c r="AM5" s="218" t="s">
        <v>1827</v>
      </c>
      <c r="AN5" s="219" t="s">
        <v>623</v>
      </c>
      <c r="AO5" s="218" t="s">
        <v>1834</v>
      </c>
      <c r="AP5" s="219" t="s">
        <v>1835</v>
      </c>
      <c r="AQ5" s="219" t="s">
        <v>1836</v>
      </c>
      <c r="AR5" s="219"/>
      <c r="AS5" s="308">
        <v>44131</v>
      </c>
      <c r="AT5" s="218" t="s">
        <v>1837</v>
      </c>
      <c r="AU5" s="220"/>
      <c r="AV5" s="218" t="s">
        <v>1838</v>
      </c>
    </row>
    <row r="6" spans="1:49" ht="38.25" x14ac:dyDescent="0.2">
      <c r="A6" s="277">
        <v>43818</v>
      </c>
      <c r="B6" s="274">
        <v>109281</v>
      </c>
      <c r="C6" s="274"/>
      <c r="D6" s="290"/>
      <c r="E6" s="274" t="s">
        <v>1833</v>
      </c>
      <c r="F6" s="274">
        <f>IF(COUNTIFS(VAP01_Assembly[VAP100B SN],VAP100B[[#This Row],[Sub-contractor Serial Number]])=1,IF(AND(VAP100B[[#This Row],[QAI0010]]="PASS",VAP100B[[#This Row],[TP0041]]="PASS"),1,0),0)</f>
        <v>1</v>
      </c>
      <c r="G6" s="277">
        <v>44126</v>
      </c>
      <c r="H6" s="274" t="s">
        <v>1641</v>
      </c>
      <c r="I6" s="274" t="s">
        <v>1641</v>
      </c>
      <c r="J6" s="278" t="str">
        <f>IF(AND(VAP100B[[#This Row],[QAI0010]]="PASS",VAP100B[[#This Row],[TP0041]]="PASS",VAP100B[[#This Row],[Assigned]]=0),VAP100B[[#This Row],[Sub-contractor Serial Number]],"")</f>
        <v/>
      </c>
      <c r="Y6" s="274" t="s">
        <v>1828</v>
      </c>
      <c r="Z6" s="277">
        <v>44134</v>
      </c>
      <c r="AA6" s="274" t="s">
        <v>51</v>
      </c>
      <c r="AB6" s="274" t="s">
        <v>1833</v>
      </c>
      <c r="AC6" s="274" t="s">
        <v>1641</v>
      </c>
      <c r="AD6" s="274" t="s">
        <v>1641</v>
      </c>
      <c r="AE6" s="278">
        <f>IF(AND(COUNTIF(VAP01_Destination[VAP01 ID], VAP01_Assembly[[#This Row],[ID]])=1,VAP01_Assembly[[#This Row],[TP0016]]="PASS",VAP01_Assembly[[#This Row],[QAI0011]]="PASS"),1,0)</f>
        <v>1</v>
      </c>
      <c r="AF6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6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6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6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6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6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6" s="218">
        <v>2</v>
      </c>
      <c r="AM6" s="218" t="s">
        <v>1828</v>
      </c>
      <c r="AN6" s="219" t="s">
        <v>51</v>
      </c>
      <c r="AO6" s="218" t="s">
        <v>1839</v>
      </c>
      <c r="AP6" s="219" t="s">
        <v>1840</v>
      </c>
      <c r="AQ6" s="219" t="s">
        <v>1841</v>
      </c>
      <c r="AR6" s="219" t="s">
        <v>1842</v>
      </c>
      <c r="AS6" s="308">
        <v>44138</v>
      </c>
      <c r="AT6" s="218" t="s">
        <v>1843</v>
      </c>
      <c r="AU6" s="220"/>
      <c r="AV6" s="218" t="s">
        <v>1844</v>
      </c>
    </row>
    <row r="7" spans="1:49" x14ac:dyDescent="0.2">
      <c r="A7" s="303">
        <v>43818</v>
      </c>
      <c r="B7" s="183">
        <v>109281</v>
      </c>
      <c r="C7" s="183">
        <v>111111</v>
      </c>
      <c r="D7" s="317"/>
      <c r="E7" s="183" t="s">
        <v>1864</v>
      </c>
      <c r="F7" s="183">
        <f>IF(COUNTIFS(VAP01_Assembly[VAP100B SN],VAP100B[[#This Row],[Sub-contractor Serial Number]])=1,IF(AND(VAP100B[[#This Row],[QAI0010]]="PASS",VAP100B[[#This Row],[TP0041]]="PASS"),1,0),0)</f>
        <v>0</v>
      </c>
      <c r="G7" s="292">
        <v>44167</v>
      </c>
      <c r="H7" s="181" t="s">
        <v>1641</v>
      </c>
      <c r="I7" s="181" t="s">
        <v>1643</v>
      </c>
      <c r="J7" s="224" t="str">
        <f>IF(AND(VAP100B[[#This Row],[QAI0010]]="PASS",VAP100B[[#This Row],[TP0041]]="PASS",VAP100B[[#This Row],[Assigned]]=0),VAP100B[[#This Row],[Sub-contractor Serial Number]],"")</f>
        <v/>
      </c>
      <c r="Z7" s="213"/>
      <c r="AS7" s="213"/>
    </row>
    <row r="8" spans="1:49" x14ac:dyDescent="0.2">
      <c r="A8" s="303">
        <v>43818</v>
      </c>
      <c r="B8" s="183">
        <v>109281</v>
      </c>
      <c r="C8" s="183">
        <v>111111</v>
      </c>
      <c r="D8" s="317"/>
      <c r="E8" s="183" t="s">
        <v>1865</v>
      </c>
      <c r="F8" s="183">
        <f>IF(COUNTIFS(VAP01_Assembly[VAP100B SN],VAP100B[[#This Row],[Sub-contractor Serial Number]])=1,IF(AND(VAP100B[[#This Row],[QAI0010]]="PASS",VAP100B[[#This Row],[TP0041]]="PASS"),1,0),0)</f>
        <v>0</v>
      </c>
      <c r="G8" s="292">
        <v>44167</v>
      </c>
      <c r="H8" s="181" t="s">
        <v>1641</v>
      </c>
      <c r="I8" s="181" t="s">
        <v>1643</v>
      </c>
      <c r="J8" s="224" t="str">
        <f>IF(AND(VAP100B[[#This Row],[QAI0010]]="PASS",VAP100B[[#This Row],[TP0041]]="PASS",VAP100B[[#This Row],[Assigned]]=0),VAP100B[[#This Row],[Sub-contractor Serial Number]],"")</f>
        <v/>
      </c>
      <c r="Z8" s="213"/>
      <c r="AS8" s="213"/>
    </row>
    <row r="9" spans="1:49" x14ac:dyDescent="0.2">
      <c r="A9" s="213"/>
      <c r="G9" s="213"/>
      <c r="Z9" s="213"/>
      <c r="AS9" s="213"/>
    </row>
    <row r="10" spans="1:49" x14ac:dyDescent="0.2">
      <c r="A10" s="213"/>
      <c r="G10" s="213"/>
      <c r="Z10" s="213"/>
      <c r="AS10" s="213"/>
    </row>
    <row r="11" spans="1:49" x14ac:dyDescent="0.2">
      <c r="A11" s="213"/>
      <c r="G11" s="213"/>
      <c r="Z11" s="213"/>
      <c r="AS11" s="213"/>
    </row>
    <row r="12" spans="1:49" x14ac:dyDescent="0.2">
      <c r="A12" s="213"/>
      <c r="G12" s="213"/>
      <c r="Z12" s="213"/>
      <c r="AS12" s="213"/>
    </row>
    <row r="13" spans="1:49" x14ac:dyDescent="0.2">
      <c r="A13" s="213"/>
      <c r="G13" s="213"/>
      <c r="Z13" s="213"/>
      <c r="AS13" s="213"/>
    </row>
    <row r="14" spans="1:49" x14ac:dyDescent="0.2">
      <c r="A14" s="213"/>
      <c r="G14" s="213"/>
      <c r="Z14" s="213"/>
      <c r="AS14" s="213"/>
    </row>
    <row r="15" spans="1:49" x14ac:dyDescent="0.2">
      <c r="A15" s="213"/>
      <c r="G15" s="213"/>
      <c r="Z15" s="213"/>
      <c r="AS15" s="213"/>
    </row>
    <row r="16" spans="1:49" x14ac:dyDescent="0.2">
      <c r="A16" s="213"/>
      <c r="G16" s="213"/>
      <c r="Z16" s="213"/>
      <c r="AS16" s="213"/>
    </row>
    <row r="17" spans="1:45" x14ac:dyDescent="0.2">
      <c r="A17" s="213"/>
      <c r="G17" s="213"/>
      <c r="Z17" s="213"/>
      <c r="AS17" s="213"/>
    </row>
    <row r="18" spans="1:45" x14ac:dyDescent="0.2">
      <c r="A18" s="213"/>
      <c r="G18" s="213"/>
      <c r="Z18" s="213"/>
      <c r="AS18" s="213"/>
    </row>
    <row r="19" spans="1:45" x14ac:dyDescent="0.2">
      <c r="A19" s="213"/>
      <c r="G19" s="213"/>
    </row>
    <row r="20" spans="1:45" x14ac:dyDescent="0.2">
      <c r="A20" s="213"/>
      <c r="G20" s="213"/>
    </row>
    <row r="21" spans="1:45" x14ac:dyDescent="0.2">
      <c r="A21" s="213"/>
      <c r="G21" s="213"/>
    </row>
    <row r="22" spans="1:45" x14ac:dyDescent="0.2">
      <c r="A22" s="213"/>
      <c r="G22" s="213"/>
    </row>
    <row r="23" spans="1:45" x14ac:dyDescent="0.2">
      <c r="A23" s="213"/>
      <c r="G23" s="213"/>
    </row>
    <row r="24" spans="1:45" x14ac:dyDescent="0.2">
      <c r="A24" s="213"/>
      <c r="G24" s="213"/>
    </row>
    <row r="25" spans="1:45" x14ac:dyDescent="0.2">
      <c r="A25" s="213"/>
      <c r="G25" s="213"/>
    </row>
    <row r="26" spans="1:45" x14ac:dyDescent="0.2">
      <c r="A26" s="213"/>
      <c r="G26" s="213"/>
    </row>
    <row r="27" spans="1:45" x14ac:dyDescent="0.2">
      <c r="A27" s="213"/>
      <c r="G27" s="213"/>
    </row>
    <row r="28" spans="1:45" x14ac:dyDescent="0.2">
      <c r="A28" s="213"/>
      <c r="G28" s="213"/>
    </row>
    <row r="29" spans="1:45" x14ac:dyDescent="0.2">
      <c r="A29" s="213"/>
      <c r="G29" s="213"/>
    </row>
    <row r="30" spans="1:45" x14ac:dyDescent="0.2">
      <c r="A30" s="213"/>
      <c r="G30" s="213"/>
    </row>
    <row r="31" spans="1:45" x14ac:dyDescent="0.2">
      <c r="A31" s="213"/>
      <c r="G31" s="213"/>
    </row>
    <row r="32" spans="1:45" x14ac:dyDescent="0.2">
      <c r="A32" s="213"/>
      <c r="G32" s="213"/>
    </row>
    <row r="33" spans="1:7" x14ac:dyDescent="0.2">
      <c r="A33" s="213"/>
      <c r="G33" s="213"/>
    </row>
    <row r="34" spans="1:7" x14ac:dyDescent="0.2">
      <c r="A34" s="213"/>
      <c r="G34" s="213"/>
    </row>
    <row r="166" spans="1:10" x14ac:dyDescent="0.2">
      <c r="A166" s="304"/>
      <c r="B166" s="243"/>
      <c r="C166" s="243"/>
      <c r="D166" s="243"/>
      <c r="E166" s="170"/>
      <c r="F166" s="170"/>
      <c r="G166" s="304"/>
      <c r="H166" s="170"/>
      <c r="I166" s="170"/>
      <c r="J166" s="194"/>
    </row>
    <row r="167" spans="1:10" x14ac:dyDescent="0.2">
      <c r="A167" s="304"/>
      <c r="B167" s="170"/>
      <c r="C167" s="170"/>
      <c r="D167" s="170"/>
      <c r="E167" s="170"/>
      <c r="F167" s="170"/>
      <c r="G167" s="304"/>
      <c r="H167" s="170"/>
      <c r="I167" s="170"/>
      <c r="J167" s="170"/>
    </row>
    <row r="168" spans="1:10" x14ac:dyDescent="0.2">
      <c r="A168" s="304"/>
      <c r="B168" s="170"/>
      <c r="C168" s="170"/>
      <c r="D168" s="170"/>
      <c r="E168" s="170"/>
      <c r="F168" s="170"/>
      <c r="G168" s="304"/>
      <c r="H168" s="170"/>
      <c r="I168" s="170"/>
      <c r="J168" s="170"/>
    </row>
    <row r="169" spans="1:10" x14ac:dyDescent="0.2">
      <c r="A169" s="304"/>
      <c r="B169" s="170"/>
      <c r="C169" s="170"/>
      <c r="D169" s="170"/>
      <c r="E169" s="170"/>
      <c r="F169" s="170"/>
      <c r="G169" s="304"/>
      <c r="H169" s="170"/>
      <c r="I169" s="170"/>
      <c r="J169" s="170"/>
    </row>
    <row r="170" spans="1:10" x14ac:dyDescent="0.2">
      <c r="A170" s="304"/>
      <c r="B170" s="170"/>
      <c r="C170" s="170"/>
      <c r="D170" s="170"/>
      <c r="E170" s="170"/>
      <c r="F170" s="170"/>
      <c r="G170" s="304"/>
      <c r="H170" s="170"/>
      <c r="I170" s="170"/>
      <c r="J170" s="170"/>
    </row>
  </sheetData>
  <sheetProtection sheet="1" objects="1" scenarios="1"/>
  <mergeCells count="4">
    <mergeCell ref="A1:J2"/>
    <mergeCell ref="L1:X2"/>
    <mergeCell ref="Y1:AK2"/>
    <mergeCell ref="AL1:AW2"/>
  </mergeCells>
  <dataValidations count="2">
    <dataValidation operator="equal" allowBlank="1" showInputMessage="1" showErrorMessage="1" sqref="J9:J1048576 I1:I2 I9:I1048576 K1:XFD1048576 J1:J2 A1:H2 A9:H1048576"/>
    <dataValidation type="list" allowBlank="1" showInputMessage="1" showErrorMessage="1" sqref="A3:H8 J3:J8 I7 I3:I6 I8">
      <formula1>"UNTESTED,FAIL,PASS"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504825</xdr:colOff>
                    <xdr:row>0</xdr:row>
                    <xdr:rowOff>104775</xdr:rowOff>
                  </from>
                  <to>
                    <xdr:col>1</xdr:col>
                    <xdr:colOff>866775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409575</xdr:colOff>
                    <xdr:row>0</xdr:row>
                    <xdr:rowOff>85725</xdr:rowOff>
                  </from>
                  <to>
                    <xdr:col>26</xdr:col>
                    <xdr:colOff>371475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104775</xdr:rowOff>
                  </from>
                  <to>
                    <xdr:col>40</xdr:col>
                    <xdr:colOff>142875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9525</xdr:colOff>
                    <xdr:row>0</xdr:row>
                    <xdr:rowOff>76200</xdr:rowOff>
                  </from>
                  <to>
                    <xdr:col>34</xdr:col>
                    <xdr:colOff>1057275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L112"/>
  <sheetViews>
    <sheetView zoomScale="98" zoomScaleNormal="98" workbookViewId="0">
      <selection activeCell="E13" sqref="E13"/>
    </sheetView>
  </sheetViews>
  <sheetFormatPr defaultColWidth="8.7109375" defaultRowHeight="12.75" x14ac:dyDescent="0.2"/>
  <cols>
    <col min="2" max="2" width="10.42578125" bestFit="1" customWidth="1"/>
    <col min="3" max="3" width="11.140625" bestFit="1" customWidth="1"/>
    <col min="4" max="4" width="10.85546875" bestFit="1" customWidth="1"/>
    <col min="5" max="5" width="81.140625" customWidth="1"/>
    <col min="6" max="6" width="11.85546875" customWidth="1"/>
    <col min="7" max="7" width="8.42578125" bestFit="1" customWidth="1"/>
    <col min="8" max="8" width="9.42578125" bestFit="1" customWidth="1"/>
    <col min="9" max="9" width="10.140625" bestFit="1" customWidth="1"/>
    <col min="10" max="10" width="77.28515625" customWidth="1"/>
    <col min="11" max="11" width="11.5703125" style="216" customWidth="1"/>
    <col min="12" max="12" width="13.5703125" customWidth="1"/>
  </cols>
  <sheetData>
    <row r="2" spans="1:11" x14ac:dyDescent="0.2">
      <c r="E2" s="144" t="s">
        <v>1826</v>
      </c>
    </row>
    <row r="3" spans="1:11" x14ac:dyDescent="0.2">
      <c r="D3" s="144" t="s">
        <v>1673</v>
      </c>
      <c r="E3" s="144" t="s">
        <v>1866</v>
      </c>
    </row>
    <row r="4" spans="1:11" x14ac:dyDescent="0.2">
      <c r="D4" s="144" t="s">
        <v>1674</v>
      </c>
      <c r="E4" s="144" t="s">
        <v>1867</v>
      </c>
    </row>
    <row r="5" spans="1:11" x14ac:dyDescent="0.2">
      <c r="D5" s="144" t="s">
        <v>1675</v>
      </c>
      <c r="E5" s="225" t="s">
        <v>1868</v>
      </c>
    </row>
    <row r="6" spans="1:11" x14ac:dyDescent="0.2">
      <c r="C6" s="144"/>
      <c r="D6" s="144"/>
    </row>
    <row r="7" spans="1:11" x14ac:dyDescent="0.2">
      <c r="C7" s="144"/>
      <c r="D7" s="144"/>
    </row>
    <row r="8" spans="1:11" x14ac:dyDescent="0.2">
      <c r="H8" s="119"/>
    </row>
    <row r="10" spans="1:11" x14ac:dyDescent="0.2">
      <c r="A10" s="121" t="s">
        <v>1808</v>
      </c>
      <c r="E10" s="55"/>
      <c r="K10"/>
    </row>
    <row r="11" spans="1:11" x14ac:dyDescent="0.2">
      <c r="A11" s="137" t="s">
        <v>1809</v>
      </c>
      <c r="E11" s="55"/>
      <c r="K11"/>
    </row>
    <row r="12" spans="1:11" x14ac:dyDescent="0.2">
      <c r="A12" s="214" t="s">
        <v>1739</v>
      </c>
      <c r="E12" s="55"/>
      <c r="K12"/>
    </row>
    <row r="13" spans="1:11" x14ac:dyDescent="0.2">
      <c r="E13" s="55"/>
      <c r="K13"/>
    </row>
    <row r="14" spans="1:11" x14ac:dyDescent="0.2">
      <c r="E14" s="55"/>
      <c r="K14"/>
    </row>
    <row r="15" spans="1:11" ht="13.5" thickBot="1" x14ac:dyDescent="0.25">
      <c r="E15" s="55"/>
      <c r="K15"/>
    </row>
    <row r="16" spans="1:11" ht="31.5" thickTop="1" thickBot="1" x14ac:dyDescent="0.3">
      <c r="A16" s="244" t="s">
        <v>1810</v>
      </c>
      <c r="B16" s="244" t="s">
        <v>1654</v>
      </c>
      <c r="C16" s="244" t="s">
        <v>1802</v>
      </c>
      <c r="D16" s="244" t="s">
        <v>1803</v>
      </c>
      <c r="E16" s="253" t="s">
        <v>1804</v>
      </c>
      <c r="F16" s="244" t="s">
        <v>1805</v>
      </c>
      <c r="G16" s="244" t="s">
        <v>1806</v>
      </c>
      <c r="H16" s="244" t="s">
        <v>1820</v>
      </c>
      <c r="I16" s="254" t="s">
        <v>1807</v>
      </c>
      <c r="J16" s="245" t="s">
        <v>1706</v>
      </c>
      <c r="K16"/>
    </row>
    <row r="17" spans="1:11" ht="14.25" thickTop="1" thickBot="1" x14ac:dyDescent="0.25">
      <c r="A17" s="246">
        <v>1</v>
      </c>
      <c r="B17" s="247">
        <v>44060</v>
      </c>
      <c r="C17" s="248" t="s">
        <v>1718</v>
      </c>
      <c r="D17" s="248" t="s">
        <v>1811</v>
      </c>
      <c r="E17" s="255" t="s">
        <v>1705</v>
      </c>
      <c r="F17" s="248" t="s">
        <v>1812</v>
      </c>
      <c r="G17" s="248" t="s">
        <v>1809</v>
      </c>
      <c r="H17" s="248"/>
      <c r="I17" s="247">
        <v>44061</v>
      </c>
      <c r="J17" s="247" t="s">
        <v>1713</v>
      </c>
      <c r="K17"/>
    </row>
    <row r="18" spans="1:11" ht="14.25" thickTop="1" thickBot="1" x14ac:dyDescent="0.25">
      <c r="A18" s="246">
        <v>2</v>
      </c>
      <c r="B18" s="247">
        <v>44060</v>
      </c>
      <c r="C18" s="248" t="s">
        <v>1718</v>
      </c>
      <c r="D18" s="248" t="s">
        <v>1811</v>
      </c>
      <c r="E18" s="255" t="s">
        <v>1814</v>
      </c>
      <c r="F18" s="248" t="s">
        <v>1812</v>
      </c>
      <c r="G18" s="248" t="s">
        <v>1808</v>
      </c>
      <c r="H18" s="248" t="s">
        <v>1720</v>
      </c>
      <c r="I18" s="247">
        <v>44061</v>
      </c>
      <c r="J18" s="247" t="s">
        <v>1707</v>
      </c>
      <c r="K18"/>
    </row>
    <row r="19" spans="1:11" ht="14.25" thickTop="1" thickBot="1" x14ac:dyDescent="0.25">
      <c r="A19" s="246">
        <v>3</v>
      </c>
      <c r="B19" s="247">
        <v>44060</v>
      </c>
      <c r="C19" s="248" t="s">
        <v>1718</v>
      </c>
      <c r="D19" s="248" t="s">
        <v>1811</v>
      </c>
      <c r="E19" s="255" t="s">
        <v>1815</v>
      </c>
      <c r="F19" s="248" t="s">
        <v>1812</v>
      </c>
      <c r="G19" s="248" t="s">
        <v>1739</v>
      </c>
      <c r="H19" s="248"/>
      <c r="I19" s="247"/>
      <c r="J19" s="247" t="s">
        <v>1708</v>
      </c>
      <c r="K19"/>
    </row>
    <row r="20" spans="1:11" ht="14.25" thickTop="1" thickBot="1" x14ac:dyDescent="0.25">
      <c r="A20" s="246">
        <v>4</v>
      </c>
      <c r="B20" s="247">
        <v>44060</v>
      </c>
      <c r="C20" s="248" t="s">
        <v>1718</v>
      </c>
      <c r="D20" s="248" t="s">
        <v>1811</v>
      </c>
      <c r="E20" s="255" t="s">
        <v>1709</v>
      </c>
      <c r="F20" s="248" t="s">
        <v>1812</v>
      </c>
      <c r="G20" s="248" t="s">
        <v>1739</v>
      </c>
      <c r="H20" s="248"/>
      <c r="I20" s="247"/>
      <c r="J20" s="247" t="s">
        <v>1708</v>
      </c>
      <c r="K20"/>
    </row>
    <row r="21" spans="1:11" ht="14.25" thickTop="1" thickBot="1" x14ac:dyDescent="0.25">
      <c r="A21" s="246">
        <v>5</v>
      </c>
      <c r="B21" s="247">
        <v>44060</v>
      </c>
      <c r="C21" s="248" t="s">
        <v>1718</v>
      </c>
      <c r="D21" s="248" t="s">
        <v>1811</v>
      </c>
      <c r="E21" s="255" t="s">
        <v>1710</v>
      </c>
      <c r="F21" s="248" t="s">
        <v>1812</v>
      </c>
      <c r="G21" s="248" t="s">
        <v>1641</v>
      </c>
      <c r="H21" s="248" t="s">
        <v>1718</v>
      </c>
      <c r="I21" s="247">
        <v>44061</v>
      </c>
      <c r="J21" s="247" t="s">
        <v>1736</v>
      </c>
      <c r="K21"/>
    </row>
    <row r="22" spans="1:11" ht="27" thickTop="1" thickBot="1" x14ac:dyDescent="0.25">
      <c r="A22" s="246">
        <v>6</v>
      </c>
      <c r="B22" s="247">
        <v>44060</v>
      </c>
      <c r="C22" s="248" t="s">
        <v>1718</v>
      </c>
      <c r="D22" s="248" t="s">
        <v>1813</v>
      </c>
      <c r="E22" s="255" t="s">
        <v>1727</v>
      </c>
      <c r="F22" s="248" t="s">
        <v>1812</v>
      </c>
      <c r="G22" s="248" t="s">
        <v>1641</v>
      </c>
      <c r="H22" s="248" t="s">
        <v>1718</v>
      </c>
      <c r="I22" s="247">
        <v>44060</v>
      </c>
      <c r="J22" s="250" t="s">
        <v>1711</v>
      </c>
      <c r="K22"/>
    </row>
    <row r="23" spans="1:11" ht="27" thickTop="1" thickBot="1" x14ac:dyDescent="0.25">
      <c r="A23" s="246">
        <v>7</v>
      </c>
      <c r="B23" s="247">
        <v>44060</v>
      </c>
      <c r="C23" s="248" t="s">
        <v>1718</v>
      </c>
      <c r="D23" s="248" t="s">
        <v>1813</v>
      </c>
      <c r="E23" s="255" t="s">
        <v>1728</v>
      </c>
      <c r="F23" s="248" t="s">
        <v>1812</v>
      </c>
      <c r="G23" s="248" t="s">
        <v>1641</v>
      </c>
      <c r="H23" s="248" t="s">
        <v>1718</v>
      </c>
      <c r="I23" s="247">
        <v>44060</v>
      </c>
      <c r="J23" s="250" t="s">
        <v>1712</v>
      </c>
      <c r="K23"/>
    </row>
    <row r="24" spans="1:11" ht="27" thickTop="1" thickBot="1" x14ac:dyDescent="0.25">
      <c r="A24" s="246">
        <v>8</v>
      </c>
      <c r="B24" s="247">
        <v>44060</v>
      </c>
      <c r="C24" s="248" t="s">
        <v>1718</v>
      </c>
      <c r="D24" s="248" t="s">
        <v>1813</v>
      </c>
      <c r="E24" s="255" t="s">
        <v>1729</v>
      </c>
      <c r="F24" s="248" t="s">
        <v>1812</v>
      </c>
      <c r="G24" s="248" t="s">
        <v>1642</v>
      </c>
      <c r="H24" s="248"/>
      <c r="I24" s="247"/>
      <c r="J24" s="250" t="s">
        <v>1713</v>
      </c>
      <c r="K24"/>
    </row>
    <row r="25" spans="1:11" ht="27" thickTop="1" thickBot="1" x14ac:dyDescent="0.25">
      <c r="A25" s="246">
        <v>9</v>
      </c>
      <c r="B25" s="247">
        <v>44060</v>
      </c>
      <c r="C25" s="248" t="s">
        <v>1718</v>
      </c>
      <c r="D25" s="248" t="s">
        <v>1813</v>
      </c>
      <c r="E25" s="255" t="s">
        <v>1730</v>
      </c>
      <c r="F25" s="248" t="s">
        <v>1812</v>
      </c>
      <c r="G25" s="248" t="s">
        <v>1808</v>
      </c>
      <c r="H25" s="248" t="s">
        <v>1718</v>
      </c>
      <c r="I25" s="247">
        <v>44060</v>
      </c>
      <c r="J25" s="250" t="s">
        <v>1719</v>
      </c>
      <c r="K25"/>
    </row>
    <row r="26" spans="1:11" ht="27" thickTop="1" thickBot="1" x14ac:dyDescent="0.25">
      <c r="A26" s="246">
        <v>10</v>
      </c>
      <c r="B26" s="247">
        <v>44060</v>
      </c>
      <c r="C26" s="248" t="s">
        <v>1718</v>
      </c>
      <c r="D26" s="248" t="s">
        <v>1813</v>
      </c>
      <c r="E26" s="255" t="s">
        <v>1731</v>
      </c>
      <c r="F26" s="248" t="s">
        <v>1812</v>
      </c>
      <c r="G26" s="248" t="s">
        <v>1641</v>
      </c>
      <c r="H26" s="248" t="s">
        <v>1718</v>
      </c>
      <c r="I26" s="247">
        <v>44060</v>
      </c>
      <c r="J26" s="250" t="s">
        <v>1707</v>
      </c>
      <c r="K26"/>
    </row>
    <row r="27" spans="1:11" ht="27" thickTop="1" thickBot="1" x14ac:dyDescent="0.25">
      <c r="A27" s="246">
        <v>11</v>
      </c>
      <c r="B27" s="247">
        <v>44060</v>
      </c>
      <c r="C27" s="248" t="s">
        <v>1718</v>
      </c>
      <c r="D27" s="248" t="s">
        <v>1813</v>
      </c>
      <c r="E27" s="255" t="s">
        <v>1732</v>
      </c>
      <c r="F27" s="248" t="s">
        <v>1812</v>
      </c>
      <c r="G27" s="248" t="s">
        <v>1642</v>
      </c>
      <c r="H27" s="248"/>
      <c r="I27" s="247"/>
      <c r="J27" s="250" t="s">
        <v>1713</v>
      </c>
      <c r="K27"/>
    </row>
    <row r="28" spans="1:11" ht="27" thickTop="1" thickBot="1" x14ac:dyDescent="0.25">
      <c r="A28" s="246">
        <v>12</v>
      </c>
      <c r="B28" s="247">
        <v>44060</v>
      </c>
      <c r="C28" s="248" t="s">
        <v>1718</v>
      </c>
      <c r="D28" s="248" t="s">
        <v>1813</v>
      </c>
      <c r="E28" s="255" t="s">
        <v>1733</v>
      </c>
      <c r="F28" s="248" t="s">
        <v>1812</v>
      </c>
      <c r="G28" s="248" t="s">
        <v>1641</v>
      </c>
      <c r="H28" s="248" t="s">
        <v>1718</v>
      </c>
      <c r="I28" s="247">
        <v>44060</v>
      </c>
      <c r="J28" s="250" t="s">
        <v>1717</v>
      </c>
      <c r="K28"/>
    </row>
    <row r="29" spans="1:11" ht="27" thickTop="1" thickBot="1" x14ac:dyDescent="0.25">
      <c r="A29" s="246">
        <v>13</v>
      </c>
      <c r="B29" s="251">
        <v>44060</v>
      </c>
      <c r="C29" s="252" t="s">
        <v>1718</v>
      </c>
      <c r="D29" s="252" t="s">
        <v>1813</v>
      </c>
      <c r="E29" s="256" t="s">
        <v>1734</v>
      </c>
      <c r="F29" s="252" t="s">
        <v>1812</v>
      </c>
      <c r="G29" s="252" t="s">
        <v>1641</v>
      </c>
      <c r="H29" s="252" t="s">
        <v>1718</v>
      </c>
      <c r="I29" s="251">
        <v>44060</v>
      </c>
      <c r="J29" s="250" t="s">
        <v>1716</v>
      </c>
      <c r="K29"/>
    </row>
    <row r="30" spans="1:11" ht="27" thickTop="1" thickBot="1" x14ac:dyDescent="0.25">
      <c r="A30" s="246">
        <v>14</v>
      </c>
      <c r="B30" s="251">
        <v>44063</v>
      </c>
      <c r="C30" s="252"/>
      <c r="D30" s="252" t="s">
        <v>1813</v>
      </c>
      <c r="E30" s="257" t="s">
        <v>1740</v>
      </c>
      <c r="F30" s="248" t="s">
        <v>1812</v>
      </c>
      <c r="G30" s="252" t="s">
        <v>1808</v>
      </c>
      <c r="H30" s="252" t="s">
        <v>1753</v>
      </c>
      <c r="I30" s="251">
        <v>44064</v>
      </c>
      <c r="J30" s="247" t="s">
        <v>1748</v>
      </c>
      <c r="K30"/>
    </row>
    <row r="31" spans="1:11" ht="27" thickTop="1" thickBot="1" x14ac:dyDescent="0.25">
      <c r="A31" s="246">
        <v>15</v>
      </c>
      <c r="B31" s="247">
        <v>44063</v>
      </c>
      <c r="C31" s="248"/>
      <c r="D31" s="252" t="s">
        <v>1813</v>
      </c>
      <c r="E31" s="257" t="s">
        <v>1741</v>
      </c>
      <c r="F31" s="252" t="s">
        <v>1812</v>
      </c>
      <c r="G31" s="248" t="s">
        <v>1808</v>
      </c>
      <c r="H31" s="248" t="s">
        <v>1753</v>
      </c>
      <c r="I31" s="247">
        <v>44064</v>
      </c>
      <c r="J31" s="247" t="s">
        <v>1749</v>
      </c>
      <c r="K31"/>
    </row>
    <row r="32" spans="1:11" ht="14.25" thickTop="1" thickBot="1" x14ac:dyDescent="0.25">
      <c r="A32" s="246">
        <v>16</v>
      </c>
      <c r="B32" s="251">
        <v>44063</v>
      </c>
      <c r="C32" s="248"/>
      <c r="D32" s="252" t="s">
        <v>1813</v>
      </c>
      <c r="E32" s="257" t="s">
        <v>1742</v>
      </c>
      <c r="F32" s="248" t="s">
        <v>1812</v>
      </c>
      <c r="G32" s="248" t="s">
        <v>1808</v>
      </c>
      <c r="H32" s="248" t="s">
        <v>1753</v>
      </c>
      <c r="I32" s="247">
        <v>44064</v>
      </c>
      <c r="J32" s="247" t="s">
        <v>1748</v>
      </c>
      <c r="K32"/>
    </row>
    <row r="33" spans="1:11" ht="27" thickTop="1" thickBot="1" x14ac:dyDescent="0.25">
      <c r="A33" s="246">
        <v>17</v>
      </c>
      <c r="B33" s="251">
        <v>44063</v>
      </c>
      <c r="C33" s="248"/>
      <c r="D33" s="252" t="s">
        <v>1813</v>
      </c>
      <c r="E33" s="257" t="s">
        <v>1743</v>
      </c>
      <c r="F33" s="252" t="s">
        <v>1812</v>
      </c>
      <c r="G33" s="248" t="s">
        <v>1808</v>
      </c>
      <c r="H33" s="248" t="s">
        <v>1753</v>
      </c>
      <c r="I33" s="247">
        <v>44064</v>
      </c>
      <c r="J33" s="247" t="s">
        <v>1750</v>
      </c>
      <c r="K33"/>
    </row>
    <row r="34" spans="1:11" ht="39.75" thickTop="1" thickBot="1" x14ac:dyDescent="0.25">
      <c r="A34" s="246">
        <v>18</v>
      </c>
      <c r="B34" s="247">
        <v>44063</v>
      </c>
      <c r="C34" s="248"/>
      <c r="D34" s="252" t="s">
        <v>1813</v>
      </c>
      <c r="E34" s="257" t="s">
        <v>1744</v>
      </c>
      <c r="F34" s="248" t="s">
        <v>1812</v>
      </c>
      <c r="G34" s="248" t="s">
        <v>1808</v>
      </c>
      <c r="H34" s="248" t="s">
        <v>1753</v>
      </c>
      <c r="I34" s="247">
        <v>44064</v>
      </c>
      <c r="J34" s="247" t="s">
        <v>1751</v>
      </c>
      <c r="K34"/>
    </row>
    <row r="35" spans="1:11" ht="27" thickTop="1" thickBot="1" x14ac:dyDescent="0.25">
      <c r="A35" s="246">
        <v>19</v>
      </c>
      <c r="B35" s="251">
        <v>44063</v>
      </c>
      <c r="C35" s="248"/>
      <c r="D35" s="252" t="s">
        <v>1813</v>
      </c>
      <c r="E35" s="257" t="s">
        <v>1745</v>
      </c>
      <c r="F35" s="252" t="s">
        <v>1812</v>
      </c>
      <c r="G35" s="248" t="s">
        <v>1808</v>
      </c>
      <c r="H35" s="248" t="s">
        <v>1753</v>
      </c>
      <c r="I35" s="247">
        <v>44064</v>
      </c>
      <c r="J35" s="247" t="s">
        <v>1752</v>
      </c>
      <c r="K35"/>
    </row>
    <row r="36" spans="1:11" ht="14.25" thickTop="1" thickBot="1" x14ac:dyDescent="0.25">
      <c r="A36" s="246">
        <v>20</v>
      </c>
      <c r="B36" s="251">
        <v>44063</v>
      </c>
      <c r="C36" s="248"/>
      <c r="D36" s="252" t="s">
        <v>1813</v>
      </c>
      <c r="E36" s="257" t="s">
        <v>1746</v>
      </c>
      <c r="F36" s="252" t="s">
        <v>1812</v>
      </c>
      <c r="G36" s="248" t="s">
        <v>1808</v>
      </c>
      <c r="H36" s="248" t="s">
        <v>1753</v>
      </c>
      <c r="I36" s="247">
        <v>44064</v>
      </c>
      <c r="J36" s="247" t="s">
        <v>1748</v>
      </c>
      <c r="K36"/>
    </row>
    <row r="37" spans="1:11" ht="27" thickTop="1" thickBot="1" x14ac:dyDescent="0.25">
      <c r="A37" s="246">
        <v>21</v>
      </c>
      <c r="B37" s="247">
        <v>44068</v>
      </c>
      <c r="C37" s="248"/>
      <c r="D37" s="252" t="s">
        <v>1813</v>
      </c>
      <c r="E37" s="258" t="s">
        <v>1754</v>
      </c>
      <c r="F37" s="248" t="s">
        <v>1812</v>
      </c>
      <c r="G37" s="248" t="s">
        <v>1808</v>
      </c>
      <c r="H37" s="248" t="s">
        <v>1755</v>
      </c>
      <c r="I37" s="247">
        <v>44068</v>
      </c>
      <c r="J37" s="247" t="s">
        <v>1772</v>
      </c>
      <c r="K37"/>
    </row>
    <row r="38" spans="1:11" ht="27" thickTop="1" thickBot="1" x14ac:dyDescent="0.25">
      <c r="A38" s="246">
        <v>22</v>
      </c>
      <c r="B38" s="247">
        <v>44068</v>
      </c>
      <c r="C38" s="248"/>
      <c r="D38" s="248"/>
      <c r="E38" s="258" t="s">
        <v>1747</v>
      </c>
      <c r="F38" s="249"/>
      <c r="G38" s="248" t="s">
        <v>1739</v>
      </c>
      <c r="H38" s="248"/>
      <c r="I38" s="247"/>
      <c r="J38" s="247"/>
      <c r="K38"/>
    </row>
    <row r="39" spans="1:11" ht="14.25" thickTop="1" thickBot="1" x14ac:dyDescent="0.25">
      <c r="A39" s="246">
        <v>23</v>
      </c>
      <c r="B39" s="247">
        <v>44069</v>
      </c>
      <c r="C39" s="248"/>
      <c r="D39" s="248" t="s">
        <v>1813</v>
      </c>
      <c r="E39" s="258" t="s">
        <v>1764</v>
      </c>
      <c r="F39" s="249" t="s">
        <v>1812</v>
      </c>
      <c r="G39" s="248" t="s">
        <v>1808</v>
      </c>
      <c r="H39" s="248" t="s">
        <v>1773</v>
      </c>
      <c r="I39" s="247">
        <v>44069</v>
      </c>
      <c r="J39" s="247" t="s">
        <v>1770</v>
      </c>
      <c r="K39"/>
    </row>
    <row r="40" spans="1:11" ht="14.25" thickTop="1" thickBot="1" x14ac:dyDescent="0.25">
      <c r="A40" s="246">
        <v>24</v>
      </c>
      <c r="B40" s="247">
        <v>44069</v>
      </c>
      <c r="C40" s="248"/>
      <c r="D40" s="248" t="s">
        <v>1813</v>
      </c>
      <c r="E40" s="258" t="s">
        <v>1765</v>
      </c>
      <c r="F40" s="249" t="s">
        <v>1812</v>
      </c>
      <c r="G40" s="248" t="s">
        <v>1808</v>
      </c>
      <c r="H40" s="248" t="s">
        <v>1773</v>
      </c>
      <c r="I40" s="247">
        <v>44069</v>
      </c>
      <c r="J40" s="247" t="s">
        <v>1771</v>
      </c>
      <c r="K40"/>
    </row>
    <row r="41" spans="1:11" ht="14.25" thickTop="1" thickBot="1" x14ac:dyDescent="0.25">
      <c r="A41" s="246">
        <v>25</v>
      </c>
      <c r="B41" s="247">
        <v>44069</v>
      </c>
      <c r="C41" s="248"/>
      <c r="D41" s="248" t="s">
        <v>1813</v>
      </c>
      <c r="E41" s="258" t="s">
        <v>1774</v>
      </c>
      <c r="F41" s="249" t="s">
        <v>1812</v>
      </c>
      <c r="G41" s="248" t="s">
        <v>1808</v>
      </c>
      <c r="H41" s="248" t="s">
        <v>1776</v>
      </c>
      <c r="I41" s="247">
        <v>44069</v>
      </c>
      <c r="J41" s="247" t="s">
        <v>1775</v>
      </c>
      <c r="K41"/>
    </row>
    <row r="42" spans="1:11" ht="14.25" thickTop="1" thickBot="1" x14ac:dyDescent="0.25">
      <c r="A42" s="246">
        <v>26</v>
      </c>
      <c r="B42" s="247">
        <v>44069</v>
      </c>
      <c r="C42" s="248"/>
      <c r="D42" s="248" t="s">
        <v>1813</v>
      </c>
      <c r="E42" s="258" t="s">
        <v>1777</v>
      </c>
      <c r="F42" s="249" t="s">
        <v>1812</v>
      </c>
      <c r="G42" s="248" t="s">
        <v>1808</v>
      </c>
      <c r="H42" s="248" t="s">
        <v>1779</v>
      </c>
      <c r="I42" s="247">
        <v>44070</v>
      </c>
      <c r="J42" s="247" t="s">
        <v>1778</v>
      </c>
      <c r="K42"/>
    </row>
    <row r="43" spans="1:11" ht="27" thickTop="1" thickBot="1" x14ac:dyDescent="0.25">
      <c r="A43" s="246">
        <v>27</v>
      </c>
      <c r="B43" s="247">
        <v>44063</v>
      </c>
      <c r="C43" s="248"/>
      <c r="D43" s="248" t="s">
        <v>1812</v>
      </c>
      <c r="E43" s="258" t="s">
        <v>1763</v>
      </c>
      <c r="F43" s="248"/>
      <c r="G43" s="248" t="s">
        <v>1739</v>
      </c>
      <c r="H43" s="248"/>
      <c r="I43" s="247"/>
      <c r="J43" s="247" t="s">
        <v>1762</v>
      </c>
      <c r="K43"/>
    </row>
    <row r="44" spans="1:11" ht="14.25" thickTop="1" thickBot="1" x14ac:dyDescent="0.25">
      <c r="A44" s="246">
        <v>28</v>
      </c>
      <c r="B44" s="247">
        <v>44063</v>
      </c>
      <c r="C44" s="248"/>
      <c r="D44" s="248" t="s">
        <v>1812</v>
      </c>
      <c r="E44" s="258" t="s">
        <v>1781</v>
      </c>
      <c r="F44" s="249" t="s">
        <v>1812</v>
      </c>
      <c r="G44" s="248" t="s">
        <v>1808</v>
      </c>
      <c r="H44" s="248" t="s">
        <v>1755</v>
      </c>
      <c r="I44" s="247">
        <v>44070</v>
      </c>
      <c r="J44" s="247" t="s">
        <v>1780</v>
      </c>
      <c r="K44"/>
    </row>
    <row r="45" spans="1:11" ht="14.25" thickTop="1" thickBot="1" x14ac:dyDescent="0.25">
      <c r="A45" s="246">
        <v>29</v>
      </c>
      <c r="B45" s="247">
        <v>44068</v>
      </c>
      <c r="C45" s="248"/>
      <c r="D45" s="248" t="s">
        <v>1812</v>
      </c>
      <c r="E45" s="258" t="s">
        <v>1756</v>
      </c>
      <c r="F45" s="249" t="s">
        <v>1812</v>
      </c>
      <c r="G45" s="248" t="s">
        <v>1808</v>
      </c>
      <c r="H45" s="248" t="s">
        <v>1755</v>
      </c>
      <c r="I45" s="247">
        <v>44068</v>
      </c>
      <c r="J45" s="247" t="s">
        <v>1760</v>
      </c>
      <c r="K45"/>
    </row>
    <row r="46" spans="1:11" ht="14.25" thickTop="1" thickBot="1" x14ac:dyDescent="0.25">
      <c r="A46" s="246">
        <v>30</v>
      </c>
      <c r="B46" s="247">
        <v>44068</v>
      </c>
      <c r="C46" s="248"/>
      <c r="D46" s="248" t="s">
        <v>1812</v>
      </c>
      <c r="E46" s="258" t="s">
        <v>1758</v>
      </c>
      <c r="F46" s="249" t="s">
        <v>1812</v>
      </c>
      <c r="G46" s="248" t="s">
        <v>1808</v>
      </c>
      <c r="H46" s="248" t="s">
        <v>1769</v>
      </c>
      <c r="I46" s="247">
        <v>44068</v>
      </c>
      <c r="J46" s="247" t="s">
        <v>1759</v>
      </c>
      <c r="K46"/>
    </row>
    <row r="47" spans="1:11" ht="14.25" thickTop="1" thickBot="1" x14ac:dyDescent="0.25">
      <c r="A47" s="246">
        <v>31</v>
      </c>
      <c r="B47" s="247">
        <v>44069</v>
      </c>
      <c r="C47" s="248"/>
      <c r="D47" s="248" t="s">
        <v>1812</v>
      </c>
      <c r="E47" s="258" t="s">
        <v>1768</v>
      </c>
      <c r="F47" s="248"/>
      <c r="G47" s="248" t="s">
        <v>1739</v>
      </c>
      <c r="H47" s="248"/>
      <c r="I47" s="247"/>
      <c r="J47" s="247"/>
      <c r="K47"/>
    </row>
    <row r="48" spans="1:11" ht="14.25" thickTop="1" thickBot="1" x14ac:dyDescent="0.25">
      <c r="A48" s="246">
        <v>32</v>
      </c>
      <c r="B48" s="247">
        <v>44117</v>
      </c>
      <c r="C48" s="248"/>
      <c r="D48" s="248" t="s">
        <v>1812</v>
      </c>
      <c r="E48" s="258" t="s">
        <v>1783</v>
      </c>
      <c r="F48" s="249" t="s">
        <v>1812</v>
      </c>
      <c r="G48" s="248" t="s">
        <v>1808</v>
      </c>
      <c r="H48" s="248" t="s">
        <v>1782</v>
      </c>
      <c r="I48" s="247"/>
      <c r="J48" s="247"/>
      <c r="K48"/>
    </row>
    <row r="49" spans="1:11" ht="27" thickTop="1" thickBot="1" x14ac:dyDescent="0.25">
      <c r="A49" s="246">
        <v>33</v>
      </c>
      <c r="B49" s="247">
        <v>44124</v>
      </c>
      <c r="C49" s="248"/>
      <c r="D49" s="248" t="s">
        <v>1812</v>
      </c>
      <c r="E49" s="258" t="s">
        <v>1797</v>
      </c>
      <c r="F49" s="249" t="s">
        <v>1812</v>
      </c>
      <c r="G49" s="248" t="s">
        <v>1808</v>
      </c>
      <c r="H49" s="248" t="s">
        <v>1819</v>
      </c>
      <c r="I49" s="247">
        <v>44124</v>
      </c>
      <c r="J49" s="247" t="s">
        <v>1798</v>
      </c>
      <c r="K49"/>
    </row>
    <row r="50" spans="1:11" ht="27" thickTop="1" thickBot="1" x14ac:dyDescent="0.25">
      <c r="A50" s="246">
        <v>34</v>
      </c>
      <c r="B50" s="247">
        <v>44060</v>
      </c>
      <c r="C50" s="248"/>
      <c r="D50" s="248" t="s">
        <v>1812</v>
      </c>
      <c r="E50" s="258" t="s">
        <v>1722</v>
      </c>
      <c r="F50" s="249" t="s">
        <v>1812</v>
      </c>
      <c r="G50" s="248" t="s">
        <v>1808</v>
      </c>
      <c r="H50" s="248" t="s">
        <v>1718</v>
      </c>
      <c r="I50" s="247">
        <v>44060</v>
      </c>
      <c r="J50" s="247" t="s">
        <v>1714</v>
      </c>
      <c r="K50"/>
    </row>
    <row r="51" spans="1:11" ht="27" thickTop="1" thickBot="1" x14ac:dyDescent="0.25">
      <c r="A51" s="246">
        <v>35</v>
      </c>
      <c r="B51" s="247">
        <v>44060</v>
      </c>
      <c r="C51" s="248"/>
      <c r="D51" s="248" t="s">
        <v>1812</v>
      </c>
      <c r="E51" s="258" t="s">
        <v>1723</v>
      </c>
      <c r="F51" s="249" t="s">
        <v>1812</v>
      </c>
      <c r="G51" s="248" t="s">
        <v>1808</v>
      </c>
      <c r="H51" s="248" t="s">
        <v>1718</v>
      </c>
      <c r="I51" s="247">
        <v>44060</v>
      </c>
      <c r="J51" s="247" t="s">
        <v>1715</v>
      </c>
      <c r="K51"/>
    </row>
    <row r="52" spans="1:11" ht="39.75" thickTop="1" thickBot="1" x14ac:dyDescent="0.25">
      <c r="A52" s="246">
        <v>36</v>
      </c>
      <c r="B52" s="247">
        <v>44060</v>
      </c>
      <c r="C52" s="248"/>
      <c r="D52" s="248" t="s">
        <v>1812</v>
      </c>
      <c r="E52" s="258" t="s">
        <v>1724</v>
      </c>
      <c r="F52" s="249" t="s">
        <v>1812</v>
      </c>
      <c r="G52" s="248" t="s">
        <v>1808</v>
      </c>
      <c r="H52" s="248" t="s">
        <v>1720</v>
      </c>
      <c r="I52" s="247">
        <v>44061</v>
      </c>
      <c r="J52" s="247" t="s">
        <v>1721</v>
      </c>
      <c r="K52"/>
    </row>
    <row r="53" spans="1:11" ht="39.75" thickTop="1" thickBot="1" x14ac:dyDescent="0.25">
      <c r="A53" s="246">
        <v>37</v>
      </c>
      <c r="B53" s="247">
        <v>44060</v>
      </c>
      <c r="C53" s="248"/>
      <c r="D53" s="248" t="s">
        <v>1812</v>
      </c>
      <c r="E53" s="258" t="s">
        <v>1725</v>
      </c>
      <c r="F53" s="249" t="s">
        <v>1812</v>
      </c>
      <c r="G53" s="248" t="s">
        <v>1808</v>
      </c>
      <c r="H53" s="248" t="s">
        <v>1720</v>
      </c>
      <c r="I53" s="247">
        <v>44061</v>
      </c>
      <c r="J53" s="247" t="s">
        <v>1737</v>
      </c>
      <c r="K53"/>
    </row>
    <row r="54" spans="1:11" ht="27" thickTop="1" thickBot="1" x14ac:dyDescent="0.25">
      <c r="A54" s="246">
        <v>38</v>
      </c>
      <c r="B54" s="247">
        <v>44060</v>
      </c>
      <c r="C54" s="248"/>
      <c r="D54" s="248" t="s">
        <v>1812</v>
      </c>
      <c r="E54" s="258" t="s">
        <v>1726</v>
      </c>
      <c r="F54" s="249" t="s">
        <v>1812</v>
      </c>
      <c r="G54" s="248" t="s">
        <v>1808</v>
      </c>
      <c r="H54" s="248" t="s">
        <v>1720</v>
      </c>
      <c r="I54" s="247">
        <v>44061</v>
      </c>
      <c r="J54" s="247" t="s">
        <v>1735</v>
      </c>
      <c r="K54"/>
    </row>
    <row r="55" spans="1:11" ht="14.25" thickTop="1" thickBot="1" x14ac:dyDescent="0.25">
      <c r="A55" s="246">
        <v>39</v>
      </c>
      <c r="B55" s="247">
        <v>44060</v>
      </c>
      <c r="C55" s="248"/>
      <c r="D55" s="248" t="s">
        <v>1812</v>
      </c>
      <c r="E55" s="258" t="s">
        <v>1738</v>
      </c>
      <c r="F55" s="248"/>
      <c r="G55" s="248" t="s">
        <v>1739</v>
      </c>
      <c r="H55" s="248"/>
      <c r="I55" s="247"/>
      <c r="J55" s="247"/>
      <c r="K55"/>
    </row>
    <row r="56" spans="1:11" ht="14.25" thickTop="1" thickBot="1" x14ac:dyDescent="0.25">
      <c r="A56" s="246">
        <v>40</v>
      </c>
      <c r="B56" s="247">
        <v>44068</v>
      </c>
      <c r="C56" s="248"/>
      <c r="D56" s="248" t="s">
        <v>1812</v>
      </c>
      <c r="E56" s="258" t="s">
        <v>1761</v>
      </c>
      <c r="F56" s="249" t="s">
        <v>1812</v>
      </c>
      <c r="G56" s="248" t="s">
        <v>1808</v>
      </c>
      <c r="H56" s="248" t="s">
        <v>1755</v>
      </c>
      <c r="I56" s="247">
        <v>44068</v>
      </c>
      <c r="J56" s="247" t="s">
        <v>1760</v>
      </c>
      <c r="K56"/>
    </row>
    <row r="57" spans="1:11" ht="14.25" thickTop="1" thickBot="1" x14ac:dyDescent="0.25">
      <c r="A57" s="246">
        <v>41</v>
      </c>
      <c r="B57" s="247">
        <v>44117</v>
      </c>
      <c r="C57" s="248"/>
      <c r="D57" s="248" t="s">
        <v>1812</v>
      </c>
      <c r="E57" s="258" t="s">
        <v>1783</v>
      </c>
      <c r="F57" s="248"/>
      <c r="G57" s="248" t="s">
        <v>1739</v>
      </c>
      <c r="H57" s="248" t="s">
        <v>1782</v>
      </c>
      <c r="I57" s="247"/>
      <c r="J57" s="247"/>
      <c r="K57"/>
    </row>
    <row r="58" spans="1:11" ht="27" thickTop="1" thickBot="1" x14ac:dyDescent="0.25">
      <c r="A58" s="246">
        <v>42</v>
      </c>
      <c r="B58" s="247">
        <v>44125</v>
      </c>
      <c r="C58" s="248"/>
      <c r="D58" s="248" t="s">
        <v>1812</v>
      </c>
      <c r="E58" s="258" t="s">
        <v>1799</v>
      </c>
      <c r="F58" s="249" t="s">
        <v>1812</v>
      </c>
      <c r="G58" s="248" t="s">
        <v>1808</v>
      </c>
      <c r="H58" s="248" t="s">
        <v>1819</v>
      </c>
      <c r="I58" s="247">
        <v>44125</v>
      </c>
      <c r="J58" s="247" t="s">
        <v>1816</v>
      </c>
      <c r="K58"/>
    </row>
    <row r="59" spans="1:11" ht="27" thickTop="1" thickBot="1" x14ac:dyDescent="0.25">
      <c r="A59" s="246">
        <v>43</v>
      </c>
      <c r="B59" s="247">
        <v>44123</v>
      </c>
      <c r="C59" s="248"/>
      <c r="D59" s="249" t="s">
        <v>1813</v>
      </c>
      <c r="E59" s="258" t="s">
        <v>1793</v>
      </c>
      <c r="F59" s="249" t="s">
        <v>1812</v>
      </c>
      <c r="G59" s="248" t="s">
        <v>1808</v>
      </c>
      <c r="H59" s="248" t="s">
        <v>1819</v>
      </c>
      <c r="I59" s="247">
        <v>44124</v>
      </c>
      <c r="J59" s="247" t="s">
        <v>1791</v>
      </c>
      <c r="K59"/>
    </row>
    <row r="60" spans="1:11" ht="39.75" thickTop="1" thickBot="1" x14ac:dyDescent="0.25">
      <c r="A60" s="246">
        <v>44</v>
      </c>
      <c r="B60" s="247">
        <v>44123</v>
      </c>
      <c r="C60" s="248" t="s">
        <v>1792</v>
      </c>
      <c r="D60" s="249" t="s">
        <v>1811</v>
      </c>
      <c r="E60" s="258" t="s">
        <v>1794</v>
      </c>
      <c r="F60" s="249" t="s">
        <v>1812</v>
      </c>
      <c r="G60" s="248" t="s">
        <v>1739</v>
      </c>
      <c r="H60" s="248"/>
      <c r="I60" s="247"/>
      <c r="J60" s="247"/>
      <c r="K60"/>
    </row>
    <row r="61" spans="1:11" ht="27" thickTop="1" thickBot="1" x14ac:dyDescent="0.25">
      <c r="A61" s="246">
        <v>45</v>
      </c>
      <c r="B61" s="247">
        <v>44123</v>
      </c>
      <c r="C61" s="248" t="s">
        <v>1792</v>
      </c>
      <c r="D61" s="249" t="s">
        <v>1817</v>
      </c>
      <c r="E61" s="258" t="s">
        <v>1795</v>
      </c>
      <c r="F61" s="249" t="s">
        <v>1812</v>
      </c>
      <c r="G61" s="248" t="s">
        <v>1808</v>
      </c>
      <c r="H61" s="249" t="s">
        <v>1858</v>
      </c>
      <c r="I61" s="247">
        <v>44140</v>
      </c>
      <c r="J61" s="311" t="s">
        <v>1859</v>
      </c>
      <c r="K61"/>
    </row>
    <row r="62" spans="1:11" ht="14.25" thickTop="1" thickBot="1" x14ac:dyDescent="0.25">
      <c r="A62" s="246">
        <v>46</v>
      </c>
      <c r="B62" s="247">
        <v>44123</v>
      </c>
      <c r="C62" s="248" t="s">
        <v>1792</v>
      </c>
      <c r="D62" s="249" t="s">
        <v>1817</v>
      </c>
      <c r="E62" s="255" t="s">
        <v>1818</v>
      </c>
      <c r="F62" s="249" t="s">
        <v>1812</v>
      </c>
      <c r="G62" s="248" t="s">
        <v>1808</v>
      </c>
      <c r="H62" s="248" t="s">
        <v>1792</v>
      </c>
      <c r="I62" s="247">
        <v>44124</v>
      </c>
      <c r="J62" s="247" t="s">
        <v>1796</v>
      </c>
      <c r="K62"/>
    </row>
    <row r="63" spans="1:11" ht="14.25" thickTop="1" thickBot="1" x14ac:dyDescent="0.25">
      <c r="A63" s="246">
        <v>47</v>
      </c>
      <c r="B63" s="247">
        <v>44131</v>
      </c>
      <c r="C63" s="248" t="s">
        <v>1792</v>
      </c>
      <c r="D63" s="248" t="s">
        <v>1811</v>
      </c>
      <c r="E63" s="258" t="s">
        <v>1821</v>
      </c>
      <c r="F63" s="248" t="s">
        <v>1812</v>
      </c>
      <c r="G63" s="248" t="s">
        <v>1808</v>
      </c>
      <c r="H63" s="249" t="s">
        <v>1858</v>
      </c>
      <c r="I63" s="247">
        <v>44140</v>
      </c>
      <c r="J63" s="311" t="s">
        <v>1860</v>
      </c>
      <c r="K63"/>
    </row>
    <row r="64" spans="1:11" ht="14.25" thickTop="1" thickBot="1" x14ac:dyDescent="0.25">
      <c r="A64" s="246">
        <v>48</v>
      </c>
      <c r="B64" s="247">
        <v>44137</v>
      </c>
      <c r="C64" s="248" t="s">
        <v>1792</v>
      </c>
      <c r="D64" s="248" t="s">
        <v>1811</v>
      </c>
      <c r="E64" s="258" t="s">
        <v>1822</v>
      </c>
      <c r="F64" s="248" t="s">
        <v>1812</v>
      </c>
      <c r="G64" s="248" t="s">
        <v>1808</v>
      </c>
      <c r="H64" s="248" t="s">
        <v>1792</v>
      </c>
      <c r="I64" s="247">
        <v>44138</v>
      </c>
      <c r="J64" s="247" t="s">
        <v>1823</v>
      </c>
      <c r="K64"/>
    </row>
    <row r="65" spans="1:11" ht="27" thickTop="1" thickBot="1" x14ac:dyDescent="0.25">
      <c r="A65" s="259">
        <v>49</v>
      </c>
      <c r="B65" s="260">
        <v>44137</v>
      </c>
      <c r="C65" s="248" t="s">
        <v>1792</v>
      </c>
      <c r="D65" s="261" t="s">
        <v>1824</v>
      </c>
      <c r="E65" s="273" t="s">
        <v>1825</v>
      </c>
      <c r="F65" s="272" t="s">
        <v>1812</v>
      </c>
      <c r="G65" s="261" t="s">
        <v>1739</v>
      </c>
      <c r="H65" s="261"/>
      <c r="I65" s="260"/>
      <c r="J65" s="260"/>
      <c r="K65"/>
    </row>
    <row r="66" spans="1:11" ht="14.25" thickTop="1" thickBot="1" x14ac:dyDescent="0.25">
      <c r="A66" s="269">
        <v>50</v>
      </c>
      <c r="B66" s="247">
        <v>44137</v>
      </c>
      <c r="C66" s="248" t="s">
        <v>1792</v>
      </c>
      <c r="D66" s="279" t="s">
        <v>1824</v>
      </c>
      <c r="E66" s="280" t="s">
        <v>1832</v>
      </c>
      <c r="F66" s="279" t="s">
        <v>1812</v>
      </c>
      <c r="G66" s="270" t="s">
        <v>1808</v>
      </c>
      <c r="H66" s="279" t="s">
        <v>1858</v>
      </c>
      <c r="I66" s="271">
        <v>44140</v>
      </c>
      <c r="J66" s="279" t="s">
        <v>1861</v>
      </c>
      <c r="K66"/>
    </row>
    <row r="67" spans="1:11" ht="14.25" thickTop="1" thickBot="1" x14ac:dyDescent="0.25">
      <c r="A67" s="269">
        <v>51</v>
      </c>
      <c r="B67" s="260">
        <v>44139</v>
      </c>
      <c r="C67" s="248" t="s">
        <v>1792</v>
      </c>
      <c r="D67" s="279" t="s">
        <v>1811</v>
      </c>
      <c r="E67" s="280" t="s">
        <v>1830</v>
      </c>
      <c r="F67" s="279" t="s">
        <v>1812</v>
      </c>
      <c r="G67" s="270" t="s">
        <v>1808</v>
      </c>
      <c r="H67" s="279" t="s">
        <v>1792</v>
      </c>
      <c r="I67" s="271">
        <v>44139</v>
      </c>
      <c r="J67" s="279" t="s">
        <v>1831</v>
      </c>
      <c r="K67"/>
    </row>
    <row r="68" spans="1:11" ht="14.25" thickTop="1" thickBot="1" x14ac:dyDescent="0.25">
      <c r="A68" s="312">
        <v>52</v>
      </c>
      <c r="B68" s="313">
        <v>44137</v>
      </c>
      <c r="C68" s="315" t="s">
        <v>1792</v>
      </c>
      <c r="D68" s="315" t="s">
        <v>1824</v>
      </c>
      <c r="E68" s="316" t="s">
        <v>1845</v>
      </c>
      <c r="F68" s="315" t="s">
        <v>1812</v>
      </c>
      <c r="G68" s="314" t="s">
        <v>1739</v>
      </c>
      <c r="H68" s="315"/>
      <c r="I68" s="313"/>
      <c r="J68" s="315"/>
      <c r="K68"/>
    </row>
    <row r="69" spans="1:11" ht="14.25" thickTop="1" thickBot="1" x14ac:dyDescent="0.25">
      <c r="A69" s="269">
        <v>53</v>
      </c>
      <c r="B69" s="313"/>
      <c r="C69" s="315"/>
      <c r="D69" s="315"/>
      <c r="E69" s="316"/>
      <c r="F69" s="315"/>
      <c r="G69" s="314"/>
      <c r="H69" s="315"/>
      <c r="I69" s="313"/>
      <c r="J69" s="315"/>
      <c r="K69"/>
    </row>
    <row r="70" spans="1:11" ht="14.25" thickTop="1" thickBot="1" x14ac:dyDescent="0.25">
      <c r="A70" s="269">
        <v>54</v>
      </c>
      <c r="B70" s="313"/>
      <c r="C70" s="315"/>
      <c r="D70" s="315"/>
      <c r="E70" s="316"/>
      <c r="F70" s="315"/>
      <c r="G70" s="314"/>
      <c r="H70" s="315"/>
      <c r="I70" s="313"/>
      <c r="J70" s="315"/>
      <c r="K70"/>
    </row>
    <row r="71" spans="1:11" ht="14.25" thickTop="1" thickBot="1" x14ac:dyDescent="0.25">
      <c r="A71" s="312">
        <v>55</v>
      </c>
      <c r="B71" s="313"/>
      <c r="C71" s="315"/>
      <c r="D71" s="315"/>
      <c r="E71" s="316"/>
      <c r="F71" s="315"/>
      <c r="G71" s="314"/>
      <c r="H71" s="315"/>
      <c r="I71" s="313"/>
      <c r="J71" s="315"/>
      <c r="K71"/>
    </row>
    <row r="72" spans="1:11" ht="14.25" thickTop="1" thickBot="1" x14ac:dyDescent="0.25">
      <c r="A72" s="269">
        <v>56</v>
      </c>
      <c r="B72" s="313"/>
      <c r="C72" s="315"/>
      <c r="D72" s="315"/>
      <c r="E72" s="316"/>
      <c r="F72" s="315"/>
      <c r="G72" s="314"/>
      <c r="H72" s="315"/>
      <c r="I72" s="313"/>
      <c r="J72" s="315"/>
      <c r="K72"/>
    </row>
    <row r="73" spans="1:11" ht="14.25" thickTop="1" thickBot="1" x14ac:dyDescent="0.25">
      <c r="A73" s="269">
        <v>57</v>
      </c>
      <c r="B73" s="313"/>
      <c r="C73" s="315"/>
      <c r="D73" s="315"/>
      <c r="E73" s="316"/>
      <c r="F73" s="315"/>
      <c r="G73" s="314"/>
      <c r="H73" s="315"/>
      <c r="I73" s="313"/>
      <c r="J73" s="315"/>
      <c r="K73"/>
    </row>
    <row r="74" spans="1:11" ht="14.25" thickTop="1" thickBot="1" x14ac:dyDescent="0.25">
      <c r="A74" s="312">
        <v>58</v>
      </c>
      <c r="B74" s="313"/>
      <c r="C74" s="315"/>
      <c r="D74" s="315"/>
      <c r="E74" s="316"/>
      <c r="F74" s="315"/>
      <c r="G74" s="314"/>
      <c r="H74" s="315"/>
      <c r="I74" s="313"/>
      <c r="J74" s="315"/>
      <c r="K74"/>
    </row>
    <row r="75" spans="1:11" ht="14.25" thickTop="1" thickBot="1" x14ac:dyDescent="0.25">
      <c r="A75" s="269">
        <v>59</v>
      </c>
      <c r="B75" s="313"/>
      <c r="C75" s="314"/>
      <c r="D75" s="315"/>
      <c r="E75" s="316"/>
      <c r="F75" s="315"/>
      <c r="G75" s="314"/>
      <c r="H75" s="315"/>
      <c r="I75" s="313"/>
      <c r="J75" s="315"/>
      <c r="K75"/>
    </row>
    <row r="76" spans="1:11" ht="14.25" thickTop="1" thickBot="1" x14ac:dyDescent="0.25">
      <c r="A76" s="269">
        <v>60</v>
      </c>
      <c r="B76" s="251"/>
      <c r="C76" s="248"/>
      <c r="D76" s="279"/>
      <c r="E76" s="280"/>
      <c r="F76" s="279"/>
      <c r="G76" s="270"/>
      <c r="H76" s="279"/>
      <c r="I76" s="271"/>
      <c r="J76" s="279"/>
      <c r="K76"/>
    </row>
    <row r="77" spans="1:11" ht="11.45" customHeight="1" thickTop="1" x14ac:dyDescent="0.2">
      <c r="K77"/>
    </row>
    <row r="78" spans="1:11" ht="11.45" customHeight="1" x14ac:dyDescent="0.2">
      <c r="K78"/>
    </row>
    <row r="79" spans="1:11" x14ac:dyDescent="0.2">
      <c r="K79"/>
    </row>
    <row r="80" spans="1:11" x14ac:dyDescent="0.2">
      <c r="K80"/>
    </row>
    <row r="81" spans="11:11" x14ac:dyDescent="0.2">
      <c r="K81"/>
    </row>
    <row r="82" spans="11:11" x14ac:dyDescent="0.2">
      <c r="K82"/>
    </row>
    <row r="83" spans="11:11" x14ac:dyDescent="0.2">
      <c r="K83"/>
    </row>
    <row r="84" spans="11:11" x14ac:dyDescent="0.2">
      <c r="K84"/>
    </row>
    <row r="85" spans="11:11" x14ac:dyDescent="0.2">
      <c r="K85"/>
    </row>
    <row r="86" spans="11:11" x14ac:dyDescent="0.2">
      <c r="K86"/>
    </row>
    <row r="87" spans="11:11" x14ac:dyDescent="0.2">
      <c r="K87"/>
    </row>
    <row r="88" spans="11:11" x14ac:dyDescent="0.2">
      <c r="K88"/>
    </row>
    <row r="89" spans="11:11" x14ac:dyDescent="0.2">
      <c r="K89"/>
    </row>
    <row r="90" spans="11:11" x14ac:dyDescent="0.2">
      <c r="K90"/>
    </row>
    <row r="91" spans="11:11" x14ac:dyDescent="0.2">
      <c r="K91"/>
    </row>
    <row r="92" spans="11:11" x14ac:dyDescent="0.2">
      <c r="K92"/>
    </row>
    <row r="93" spans="11:11" x14ac:dyDescent="0.2">
      <c r="K93"/>
    </row>
    <row r="94" spans="11:11" x14ac:dyDescent="0.2">
      <c r="K94"/>
    </row>
    <row r="95" spans="11:11" x14ac:dyDescent="0.2">
      <c r="K95"/>
    </row>
    <row r="96" spans="11:11" x14ac:dyDescent="0.2">
      <c r="K96"/>
    </row>
    <row r="97" spans="3:12" x14ac:dyDescent="0.2">
      <c r="K97"/>
    </row>
    <row r="98" spans="3:12" x14ac:dyDescent="0.2">
      <c r="K98"/>
    </row>
    <row r="99" spans="3:12" x14ac:dyDescent="0.2">
      <c r="K99"/>
    </row>
    <row r="100" spans="3:12" x14ac:dyDescent="0.2">
      <c r="K100"/>
    </row>
    <row r="101" spans="3:12" x14ac:dyDescent="0.2">
      <c r="K101"/>
    </row>
    <row r="102" spans="3:12" x14ac:dyDescent="0.2">
      <c r="K102"/>
    </row>
    <row r="103" spans="3:12" x14ac:dyDescent="0.2">
      <c r="K103"/>
    </row>
    <row r="104" spans="3:12" x14ac:dyDescent="0.2">
      <c r="C104" s="6"/>
      <c r="K104"/>
    </row>
    <row r="105" spans="3:12" x14ac:dyDescent="0.2">
      <c r="C105" s="6"/>
      <c r="K105"/>
    </row>
    <row r="106" spans="3:12" x14ac:dyDescent="0.2">
      <c r="C106" s="6"/>
      <c r="K106"/>
    </row>
    <row r="107" spans="3:12" x14ac:dyDescent="0.2">
      <c r="C107" s="6"/>
      <c r="K107"/>
    </row>
    <row r="108" spans="3:12" x14ac:dyDescent="0.2">
      <c r="K108"/>
    </row>
    <row r="109" spans="3:12" x14ac:dyDescent="0.2">
      <c r="K109"/>
    </row>
    <row r="110" spans="3:12" x14ac:dyDescent="0.2">
      <c r="K110"/>
    </row>
    <row r="111" spans="3:12" x14ac:dyDescent="0.2">
      <c r="L111" s="217"/>
    </row>
    <row r="112" spans="3:12" x14ac:dyDescent="0.2">
      <c r="L112" s="217"/>
    </row>
  </sheetData>
  <conditionalFormatting sqref="A17:J63 A67:J68 B69:J76 A70:A71 A73:A74 A76">
    <cfRule type="expression" dxfId="23" priority="10">
      <formula>$G17=$A$10</formula>
    </cfRule>
    <cfRule type="expression" dxfId="22" priority="11">
      <formula>$G17=$A$12</formula>
    </cfRule>
    <cfRule type="expression" dxfId="21" priority="12">
      <formula>$G17=$A$11</formula>
    </cfRule>
  </conditionalFormatting>
  <conditionalFormatting sqref="A64:J65 A66:D66 F66:J66 A69 A72 A75">
    <cfRule type="expression" dxfId="20" priority="7">
      <formula>$G64=$A$10</formula>
    </cfRule>
    <cfRule type="expression" dxfId="19" priority="8">
      <formula>$G64=$A$12</formula>
    </cfRule>
    <cfRule type="expression" dxfId="18" priority="9">
      <formula>$G64=$A$11</formula>
    </cfRule>
  </conditionalFormatting>
  <conditionalFormatting sqref="E66">
    <cfRule type="expression" dxfId="17" priority="1">
      <formula>$G66=$A$10</formula>
    </cfRule>
    <cfRule type="expression" dxfId="16" priority="2">
      <formula>$G66=$A$12</formula>
    </cfRule>
    <cfRule type="expression" dxfId="15" priority="3">
      <formula>$G66=$A$11</formula>
    </cfRule>
  </conditionalFormatting>
  <dataValidations count="1">
    <dataValidation type="list" allowBlank="1" showInputMessage="1" showErrorMessage="1" sqref="G17:G76">
      <formula1>$A$10:$A$13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hangeRootDirectory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5</xdr:col>
                    <xdr:colOff>809625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VAP100AE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2020-12-03T16:08:12Z</dcterms:modified>
</cp:coreProperties>
</file>