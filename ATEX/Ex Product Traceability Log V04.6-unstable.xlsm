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 Area\Manufacturing Archives\Logs\"/>
    </mc:Choice>
  </mc:AlternateContent>
  <bookViews>
    <workbookView xWindow="1560" yWindow="1560" windowWidth="28800" windowHeight="15470" firstSheet="1" activeTab="3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</workbook>
</file>

<file path=xl/calcChain.xml><?xml version="1.0" encoding="utf-8"?>
<calcChain xmlns="http://schemas.openxmlformats.org/spreadsheetml/2006/main">
  <c r="F9" i="11" l="1"/>
  <c r="J9" i="11"/>
  <c r="F8" i="11"/>
  <c r="J8" i="11" s="1"/>
  <c r="F7" i="11"/>
  <c r="J7" i="11" s="1"/>
  <c r="F6" i="11"/>
  <c r="J6" i="11" s="1"/>
  <c r="F5" i="11" l="1"/>
  <c r="J5" i="11" s="1"/>
  <c r="G10" i="10"/>
  <c r="L10" i="10" s="1"/>
  <c r="K10" i="10"/>
  <c r="G9" i="10"/>
  <c r="L9" i="10" s="1"/>
  <c r="K9" i="10"/>
  <c r="G8" i="10"/>
  <c r="L8" i="10" s="1"/>
  <c r="K8" i="10"/>
  <c r="G7" i="10"/>
  <c r="L7" i="10" s="1"/>
  <c r="K7" i="10"/>
  <c r="G6" i="10"/>
  <c r="L6" i="10" s="1"/>
  <c r="K6" i="10"/>
  <c r="G5" i="10"/>
  <c r="L5" i="10" s="1"/>
  <c r="K5" i="10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<sst xmlns="http://schemas.openxmlformats.org/spreadsheetml/2006/main" count="4961" uniqueCount="1837">
  <si>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</si>
  <si>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</si>
  <si>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</si>
  <si>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</si>
  <si>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</si>
  <si>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</si>
  <si>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</si>
  <si>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</si>
  <si>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</si>
  <si>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</si>
  <si>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</si>
  <si>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</si>
  <si>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</si>
  <si>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</si>
  <si>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</si>
  <si>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</si>
  <si>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</si>
  <si>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</si>
  <si>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</si>
  <si>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</si>
  <si>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</si>
  <si>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</si>
  <si>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</si>
  <si>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</si>
  <si>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</si>
  <si>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</si>
  <si>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</si>
  <si>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</si>
  <si>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</si>
  <si>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</si>
  <si>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</si>
  <si>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</si>
  <si>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</si>
  <si>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</si>
  <si>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</si>
  <si>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</si>
  <si>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</si>
  <si>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</si>
  <si>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</si>
  <si>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</si>
  <si>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</si>
  <si>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</si>
  <si>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</si>
  <si>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</si>
  <si>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</si>
  <si>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</si>
  <si>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</si>
  <si>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</si>
  <si>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</si>
  <si>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</si>
  <si>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</si>
  <si>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</si>
  <si>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</si>
  <si>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</si>
  <si>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</si>
  <si>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</si>
  <si>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</si>
  <si>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</si>
  <si>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</si>
  <si>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</si>
  <si>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</si>
  <si>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</si>
  <si>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</si>
  <si>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</si>
  <si>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</si>
  <si>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</si>
  <si>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</si>
  <si>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</si>
  <si>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</si>
  <si>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</si>
  <si>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</si>
  <si>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</si>
  <si>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</si>
  <si>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</si>
  <si>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</si>
  <si>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</si>
  <si>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</si>
  <si>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</si>
  <si>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</si>
  <si>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</si>
  <si>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</si>
  <si>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</si>
  <si>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</si>
  <si>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</si>
  <si>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</si>
  <si>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</si>
  <si>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</si>
  <si>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</si>
  <si>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</si>
  <si>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</si>
  <si>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</si>
  <si>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</si>
  <si>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</si>
  <si>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</si>
  <si>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</si>
  <si>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</si>
  <si>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</si>
  <si>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</si>
  <si>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</si>
  <si>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</si>
  <si>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</si>
  <si>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</si>
  <si>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</si>
  <si>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</si>
  <si>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</si>
  <si>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</si>
  <si>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</si>
  <si>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</si>
  <si>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</si>
  <si>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</si>
  <si>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</si>
  <si>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</si>
  <si>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</si>
  <si>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</si>
  <si>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</si>
  <si>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</si>
  <si>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</si>
  <si>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</si>
  <si>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</si>
  <si>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</si>
  <si>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</si>
  <si>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</si>
  <si>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</si>
  <si>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</si>
  <si>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</si>
  <si>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</si>
  <si>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</si>
  <si>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</si>
  <si>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</si>
  <si>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</si>
  <si>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</si>
  <si>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</si>
  <si>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</si>
  <si>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</si>
  <si>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</si>
  <si>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</si>
  <si>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</si>
  <si>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</si>
  <si>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</si>
  <si>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</si>
  <si>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</si>
  <si>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</si>
  <si>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</si>
  <si>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</si>
  <si>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</si>
  <si>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</si>
  <si>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</si>
  <si>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</si>
  <si>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</si>
  <si>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</si>
  <si>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</si>
  <si>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</si>
  <si>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</si>
  <si>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</si>
  <si>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</si>
  <si>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</si>
  <si>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</si>
  <si>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</si>
  <si>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</si>
  <si>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</si>
  <si>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</si>
  <si>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</si>
  <si>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</si>
  <si>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</si>
  <si>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</si>
  <si>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</si>
  <si>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</si>
  <si>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</si>
  <si>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</si>
  <si>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</si>
  <si>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</si>
  <si>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</si>
  <si>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</si>
  <si>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</si>
  <si>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</si>
  <si>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</si>
  <si>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</si>
  <si>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</si>
  <si>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</si>
  <si>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</si>
  <si>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</si>
  <si>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</si>
  <si>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</si>
  <si>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</si>
  <si>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</si>
  <si>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</si>
  <si>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</si>
  <si>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</si>
  <si>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</si>
  <si>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</si>
  <si>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</si>
  <si>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</si>
  <si>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</si>
  <si>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</si>
  <si>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</si>
  <si>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</si>
  <si>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</si>
  <si>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</si>
  <si>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</si>
  <si>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</si>
  <si>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</si>
  <si>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</si>
  <si>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</si>
  <si>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</si>
  <si>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</si>
  <si>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</si>
  <si>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</si>
  <si>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</si>
  <si>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</si>
  <si>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</si>
  <si>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</si>
  <si>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</si>
  <si>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</si>
  <si>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</si>
  <si>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</si>
  <si>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</si>
  <si>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</si>
  <si>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</si>
  <si>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</si>
  <si>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</si>
  <si>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</si>
  <si>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</si>
  <si>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</si>
  <si>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</si>
  <si>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</si>
  <si>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</si>
  <si>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</si>
  <si>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</si>
  <si>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</si>
  <si>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</si>
  <si>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</si>
  <si>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</si>
  <si>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</si>
  <si>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</si>
  <si>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</si>
  <si>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</si>
  <si>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</si>
  <si>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</si>
  <si>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</si>
  <si>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</si>
  <si>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</si>
  <si>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</si>
  <si>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</si>
  <si>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</si>
  <si>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</si>
  <si>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</si>
  <si>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</si>
  <si>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</si>
  <si>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</si>
  <si>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</si>
  <si>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</si>
  <si>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</si>
  <si>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</si>
  <si>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</si>
  <si>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</si>
  <si>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</si>
  <si>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</si>
  <si>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</si>
  <si>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</si>
  <si>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</si>
  <si>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</si>
  <si>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</si>
  <si>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</si>
  <si>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</si>
  <si>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</si>
  <si>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</si>
  <si>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</si>
  <si>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</si>
  <si>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</si>
  <si>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</si>
  <si>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</si>
  <si>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</si>
  <si>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</si>
  <si>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</si>
  <si>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</si>
  <si>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</si>
  <si>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</si>
  <si>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</si>
  <si>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</si>
  <si>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</si>
  <si>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</si>
  <si>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</si>
  <si>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</si>
  <si>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</si>
  <si>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</si>
  <si>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</si>
  <si>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</si>
  <si>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</si>
  <si>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</si>
  <si>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</si>
  <si>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</si>
  <si>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</si>
  <si>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</si>
  <si>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</si>
  <si>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</si>
  <si>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</si>
  <si>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</si>
  <si>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</si>
  <si>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</si>
  <si>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</si>
  <si>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</si>
  <si>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</si>
  <si>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</si>
  <si>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</si>
  <si>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</si>
  <si>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</si>
  <si>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</si>
  <si>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</si>
  <si>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</si>
  <si>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</si>
  <si>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</si>
  <si>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</si>
  <si>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</si>
  <si>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</si>
  <si>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</si>
  <si>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</si>
  <si>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</si>
  <si>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</si>
  <si>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</si>
  <si>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</si>
  <si>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</si>
  <si>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</si>
  <si>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</si>
  <si>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</si>
  <si>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</si>
  <si>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</si>
  <si>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</si>
  <si>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</si>
  <si>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</si>
  <si>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</si>
  <si>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</si>
  <si>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</si>
  <si>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</si>
  <si>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</si>
  <si>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</si>
  <si>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</si>
  <si>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</si>
  <si>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</si>
  <si>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</si>
  <si>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</si>
  <si>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</si>
  <si>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</si>
  <si>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</si>
  <si>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</si>
  <si>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</si>
  <si>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</si>
  <si>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</si>
  <si>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</si>
  <si>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</si>
  <si>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</si>
  <si>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</si>
  <si>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</si>
  <si>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</si>
  <si>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</si>
  <si>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</si>
  <si>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</si>
  <si>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</si>
  <si>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</si>
  <si>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</si>
  <si>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</si>
  <si>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</si>
  <si>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</si>
  <si>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</si>
  <si>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</si>
  <si>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</si>
  <si>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</si>
  <si>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</si>
  <si>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</si>
  <si>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</si>
  <si>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</si>
  <si>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</si>
  <si>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</si>
  <si>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</si>
  <si>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</si>
  <si>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</si>
  <si>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</si>
  <si>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</si>
  <si>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</si>
  <si>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</si>
  <si>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</si>
  <si>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</si>
  <si>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</si>
  <si>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</si>
  <si>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</si>
  <si>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</si>
  <si>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</si>
  <si>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</si>
  <si>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</si>
  <si>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</si>
  <si>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</si>
  <si>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</si>
  <si>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</si>
  <si>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</si>
  <si>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</si>
  <si>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</si>
  <si>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</si>
  <si>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</si>
  <si>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</si>
  <si>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</si>
  <si>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</si>
  <si>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</si>
  <si>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</si>
  <si>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</si>
  <si>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</si>
  <si>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</si>
  <si>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</si>
  <si>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</si>
  <si>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</si>
  <si>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</si>
  <si>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</si>
  <si>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</si>
  <si>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</si>
  <si>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</si>
  <si>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</si>
  <si>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</si>
  <si>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</si>
  <si>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</si>
  <si>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</si>
  <si>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</si>
  <si>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</si>
  <si>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</si>
  <si>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</si>
  <si>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</si>
  <si>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</si>
  <si>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</si>
  <si>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</si>
  <si>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</si>
  <si>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</si>
  <si>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</si>
  <si>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</si>
  <si>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</si>
  <si>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</si>
  <si>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</si>
  <si>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</si>
  <si>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</si>
  <si>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</si>
  <si>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</si>
  <si>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</si>
  <si>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</si>
  <si>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</si>
  <si>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</si>
  <si>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</si>
  <si>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</si>
  <si>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</si>
  <si>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</si>
  <si>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</si>
  <si>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</si>
  <si>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</si>
  <si>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</si>
  <si>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</si>
  <si>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</si>
  <si>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</si>
  <si>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</si>
  <si>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</si>
  <si>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</si>
  <si>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</si>
  <si>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</si>
  <si>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</si>
  <si>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</si>
  <si>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</si>
  <si>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</si>
  <si>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</si>
  <si>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</si>
  <si>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</si>
  <si>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</si>
  <si>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</si>
  <si>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</si>
  <si>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</si>
  <si>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</si>
  <si>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</si>
  <si>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</si>
  <si>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</si>
  <si>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</si>
  <si>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</si>
  <si>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</si>
  <si>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</si>
  <si>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</si>
  <si>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</si>
  <si>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</si>
  <si>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</si>
  <si>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</si>
  <si>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</si>
  <si>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</si>
  <si>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</si>
  <si>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</si>
  <si>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</si>
  <si>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</si>
  <si>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</si>
  <si>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</si>
  <si>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</si>
  <si>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</si>
  <si>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</si>
  <si>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</si>
  <si>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</si>
  <si>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</si>
  <si>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</si>
  <si>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</si>
  <si>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</si>
  <si>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</si>
  <si>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</si>
  <si>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</si>
  <si>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</si>
  <si>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</si>
  <si>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</si>
  <si>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</si>
  <si>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</si>
  <si>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</si>
  <si>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</si>
  <si>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</si>
  <si>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</si>
  <si>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</si>
  <si>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</si>
  <si>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</si>
  <si>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</si>
  <si>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</si>
  <si>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</si>
  <si>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</si>
  <si>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</si>
  <si>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</si>
  <si>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</si>
  <si>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</si>
  <si>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</si>
  <si>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</si>
  <si>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</si>
  <si>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</si>
  <si>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</si>
  <si>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</si>
  <si>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</si>
  <si>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</si>
  <si>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</si>
  <si>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</si>
  <si>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</si>
  <si>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</si>
  <si>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</si>
  <si>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</si>
  <si>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</si>
  <si>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</si>
  <si>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</si>
  <si>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</si>
  <si>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</si>
  <si>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</si>
  <si>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</si>
  <si>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</si>
  <si>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</si>
  <si>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</si>
  <si>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</si>
  <si>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</si>
  <si>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</si>
  <si>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</si>
  <si>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</si>
  <si>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</si>
  <si>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</si>
  <si>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</si>
  <si>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</si>
  <si>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</si>
  <si>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</si>
  <si>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</si>
  <si>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</si>
  <si>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</si>
  <si>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</si>
  <si>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</si>
  <si>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</si>
  <si>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</si>
  <si>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</si>
  <si>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</si>
  <si>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</si>
  <si>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</si>
  <si>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</si>
  <si>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</si>
  <si>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</si>
  <si>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</si>
  <si>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</si>
  <si>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</si>
  <si>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</si>
  <si>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</si>
  <si>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</si>
  <si>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</si>
  <si>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</si>
  <si>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</si>
  <si>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</si>
  <si>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</si>
  <si>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</si>
  <si>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</si>
  <si>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</si>
  <si>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</si>
  <si>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</si>
  <si>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</si>
  <si>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</si>
  <si>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</si>
  <si>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</si>
  <si>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</si>
  <si>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</si>
  <si>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</si>
  <si>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</si>
  <si>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</si>
  <si>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</si>
  <si>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</si>
  <si>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</si>
  <si>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</si>
  <si>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</si>
  <si>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</si>
  <si>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</si>
  <si>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</si>
  <si>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</si>
  <si>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</si>
  <si>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</si>
  <si>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</si>
  <si>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</si>
  <si>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</si>
  <si>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</si>
  <si>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</si>
  <si>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</si>
  <si>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</si>
  <si>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</si>
  <si>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</si>
  <si>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</si>
  <si>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</si>
  <si>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</si>
  <si>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</si>
  <si>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</si>
  <si>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</si>
  <si>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</si>
  <si>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</si>
  <si>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</si>
  <si>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</si>
  <si>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</si>
  <si>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</si>
  <si>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</si>
  <si>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</si>
  <si>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</si>
  <si>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</si>
  <si>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</si>
  <si>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</si>
  <si>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</si>
  <si>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</si>
  <si>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</si>
  <si>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</si>
  <si>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</si>
  <si>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</si>
  <si>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</si>
  <si>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</si>
  <si>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</si>
  <si>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</si>
  <si>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</si>
  <si>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</si>
  <si>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</si>
  <si>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</si>
  <si>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</si>
  <si>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</si>
  <si>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</si>
  <si>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</si>
  <si>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</si>
  <si>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</si>
  <si>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</si>
  <si>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</si>
  <si>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</si>
  <si>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</si>
  <si>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</si>
  <si>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</si>
  <si>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</si>
  <si>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</si>
  <si>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</si>
  <si>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</si>
  <si>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</si>
  <si>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</si>
  <si>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</si>
  <si>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</si>
  <si>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</si>
  <si>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</si>
  <si>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</si>
  <si>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</si>
  <si>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</si>
  <si>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</si>
  <si>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</si>
  <si>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</si>
  <si>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</si>
  <si>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</si>
  <si>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</si>
  <si>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</si>
  <si>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</si>
  <si>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</si>
  <si>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</si>
  <si>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</si>
  <si>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</si>
  <si>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</si>
  <si>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</si>
  <si>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</si>
  <si>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</si>
  <si>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</si>
  <si>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</si>
  <si>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</si>
  <si>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</si>
  <si>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</si>
  <si>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</si>
  <si>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</si>
  <si>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</si>
  <si>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</si>
  <si>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</si>
  <si>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</si>
  <si>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</si>
  <si>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</si>
  <si>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</si>
  <si>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</si>
  <si>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</si>
  <si>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</si>
  <si>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</si>
  <si>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</si>
  <si>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</si>
  <si>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</si>
  <si>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</si>
  <si>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</si>
  <si>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</si>
  <si>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</si>
  <si>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</si>
  <si>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</si>
  <si>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</si>
  <si>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</si>
  <si>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</si>
  <si>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</si>
  <si>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</si>
  <si>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</si>
  <si>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</si>
  <si>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</si>
  <si>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</si>
  <si>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</si>
  <si>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</si>
  <si>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</si>
  <si>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</si>
  <si>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</si>
  <si>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</si>
  <si>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</si>
  <si>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</si>
  <si>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</si>
  <si>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</si>
  <si>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</si>
  <si>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</si>
  <si>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</si>
  <si>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</si>
  <si>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</si>
  <si>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</si>
  <si>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</si>
  <si>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</si>
  <si>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</si>
  <si>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</si>
  <si>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</si>
  <si>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</si>
  <si>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</si>
  <si>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</si>
  <si>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</si>
  <si>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</si>
  <si>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</si>
  <si>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</si>
  <si>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</si>
  <si>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</si>
  <si>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</si>
  <si>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</si>
  <si>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</si>
  <si>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</si>
  <si>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</si>
  <si>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</si>
  <si>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</si>
  <si>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</si>
  <si>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</si>
  <si>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</si>
  <si>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</si>
  <si>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</si>
  <si>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</si>
  <si>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</si>
  <si>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</si>
  <si>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</si>
  <si>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</si>
  <si>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</si>
  <si>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</si>
  <si>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</si>
  <si>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</si>
  <si>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</si>
  <si>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</si>
  <si>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</si>
  <si>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</si>
  <si>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</si>
  <si>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</si>
  <si>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</si>
  <si>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</si>
  <si>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</si>
  <si>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</si>
  <si>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</si>
  <si>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</si>
  <si>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</si>
  <si>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</si>
  <si>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</si>
  <si>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</si>
  <si>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</si>
  <si>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</si>
  <si>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</si>
  <si>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</si>
  <si>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</si>
  <si>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</si>
  <si>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</si>
  <si>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</si>
  <si>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</si>
  <si>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</si>
  <si>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</si>
  <si>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</si>
  <si>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</si>
  <si>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</si>
  <si>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</si>
  <si>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</si>
  <si>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</si>
  <si>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</si>
  <si>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</si>
  <si>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</si>
  <si>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</si>
  <si>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</si>
  <si>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</si>
  <si>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</si>
  <si>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</si>
  <si>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</si>
  <si>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</si>
  <si>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</si>
  <si>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</si>
  <si>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</si>
  <si>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</si>
  <si>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</si>
  <si>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</si>
  <si>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</si>
  <si>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</si>
  <si>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</si>
  <si>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</si>
  <si>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</si>
  <si>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</si>
  <si>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</si>
  <si>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</si>
  <si>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</si>
  <si>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</si>
  <si>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</si>
  <si>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</si>
  <si>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</si>
  <si>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</si>
  <si>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</si>
  <si>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</si>
  <si>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</si>
  <si>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</si>
  <si>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</si>
  <si>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</si>
  <si>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</si>
  <si>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</si>
  <si>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</si>
  <si>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</si>
  <si>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</si>
  <si>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</si>
  <si>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</si>
  <si>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</si>
  <si>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</si>
  <si>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</si>
  <si>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</si>
  <si>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</si>
  <si>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</si>
  <si>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</si>
  <si>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</si>
  <si>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</si>
  <si>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</si>
  <si>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</si>
  <si>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</si>
  <si>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</si>
  <si>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</si>
  <si>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</si>
  <si>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</si>
  <si>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</si>
  <si>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</si>
  <si>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</si>
  <si>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</si>
  <si>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</si>
  <si>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</si>
  <si>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</si>
  <si>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</si>
  <si>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</si>
  <si>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</si>
  <si>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</si>
  <si>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</si>
  <si>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</si>
  <si>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</si>
  <si>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</si>
  <si>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</si>
  <si>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</si>
  <si>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</si>
  <si>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</si>
  <si>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</si>
  <si>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</si>
  <si>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</si>
  <si>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</si>
  <si>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</si>
  <si>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</si>
  <si>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</si>
  <si>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</si>
  <si>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</si>
  <si>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</si>
  <si>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</si>
  <si>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</si>
  <si>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</si>
  <si>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</si>
  <si>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</si>
  <si>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</si>
  <si>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</si>
  <si>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</si>
  <si>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</si>
  <si>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</si>
  <si>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</si>
  <si>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</si>
  <si>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</si>
  <si>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</si>
  <si>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</si>
  <si>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</si>
  <si>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</si>
  <si>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</si>
  <si>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</si>
  <si>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</si>
  <si>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</si>
  <si>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</si>
  <si>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</si>
  <si>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</si>
  <si>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</si>
  <si>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</si>
  <si>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</si>
  <si>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</si>
  <si>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</si>
  <si>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</si>
  <si>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</si>
  <si>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</si>
  <si>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</si>
  <si>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</si>
  <si>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</si>
  <si>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</si>
  <si>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</si>
  <si>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</si>
  <si>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</si>
  <si>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</si>
  <si>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</si>
  <si>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</si>
  <si>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</si>
  <si>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</si>
  <si>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</si>
  <si>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</si>
  <si>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</si>
  <si>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</si>
  <si>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</si>
  <si>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</si>
  <si>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</si>
  <si>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</si>
  <si>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</si>
  <si>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</si>
  <si>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</si>
  <si>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</si>
  <si>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</si>
  <si>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</si>
  <si>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</si>
  <si>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</si>
  <si>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</si>
  <si>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</si>
  <si>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</si>
  <si>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</si>
  <si>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</si>
  <si>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</si>
  <si>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</si>
  <si>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</si>
  <si>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</si>
  <si>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</si>
  <si>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</si>
  <si>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</si>
  <si>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</si>
  <si>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</si>
  <si>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</si>
  <si>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</si>
  <si>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</si>
  <si>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</si>
  <si>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</si>
  <si>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</si>
  <si>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</si>
  <si>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</si>
  <si>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</si>
  <si>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</si>
  <si>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</si>
  <si>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</si>
  <si>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</si>
  <si>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</si>
  <si>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</si>
  <si>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</si>
  <si>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</si>
  <si>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</si>
  <si>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</si>
  <si>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</si>
  <si>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</si>
  <si>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</si>
  <si>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</si>
  <si>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</si>
  <si>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</si>
  <si>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</si>
  <si>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</si>
  <si>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</si>
  <si>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</si>
  <si>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</si>
  <si>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</si>
  <si>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</si>
  <si>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</si>
  <si>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</si>
  <si>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</si>
  <si>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</si>
  <si>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</si>
  <si>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</si>
  <si>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</si>
  <si>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</si>
  <si>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</si>
  <si>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</si>
  <si>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</si>
  <si>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</si>
  <si>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</si>
  <si>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</si>
  <si>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</si>
  <si>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</si>
  <si>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</si>
  <si>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</si>
  <si>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</si>
  <si>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</si>
  <si>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</si>
  <si>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</si>
  <si>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</si>
  <si>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</si>
  <si>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</si>
  <si>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</si>
  <si>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</si>
  <si>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</si>
  <si>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</si>
  <si>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</si>
  <si>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</si>
  <si>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</si>
  <si>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</si>
  <si>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</si>
  <si>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</si>
  <si>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</si>
  <si>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</si>
  <si>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</si>
  <si>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</si>
  <si>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</si>
  <si>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</si>
  <si>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</si>
  <si>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</si>
  <si>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</si>
  <si>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</si>
  <si>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</si>
  <si>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</si>
  <si>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</si>
  <si>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</si>
  <si>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</si>
  <si>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</si>
  <si>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</si>
  <si>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</si>
  <si>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</si>
  <si>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</si>
  <si>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</si>
  <si>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</si>
  <si>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</si>
  <si>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</si>
  <si>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</si>
  <si>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</si>
  <si>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</si>
  <si>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</si>
  <si>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</si>
  <si>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</si>
  <si>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</si>
  <si>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</si>
  <si>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</si>
  <si>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</si>
  <si>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</si>
  <si>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</si>
  <si>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</si>
  <si>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</si>
  <si>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</si>
  <si>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</si>
  <si>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</si>
  <si>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</si>
  <si>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</si>
  <si>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</si>
  <si>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</si>
  <si>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</si>
  <si>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</si>
  <si>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</si>
  <si>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</si>
  <si>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</si>
  <si>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</si>
  <si>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</si>
  <si>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</si>
  <si>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</si>
  <si>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</si>
  <si>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</si>
  <si>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</si>
  <si>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</si>
  <si>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</si>
  <si>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</si>
  <si>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</si>
  <si>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</si>
  <si>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</si>
  <si>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</si>
  <si>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</si>
  <si>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</si>
  <si>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</si>
  <si>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</si>
  <si>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</si>
  <si>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</si>
  <si>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</si>
  <si>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</si>
  <si>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</si>
  <si>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</si>
  <si>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</si>
  <si>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</si>
  <si>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</si>
  <si>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</si>
  <si>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</si>
  <si>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</si>
  <si>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</si>
  <si>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</si>
  <si>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</si>
  <si>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</si>
  <si>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</si>
  <si>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</si>
  <si>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</si>
  <si>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</si>
  <si>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</si>
  <si>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</si>
  <si>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</si>
  <si>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</si>
  <si>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</si>
  <si>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</si>
  <si>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</si>
  <si>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</si>
  <si>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</si>
  <si>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</si>
  <si>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</si>
  <si>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</si>
  <si>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</si>
  <si>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</si>
  <si>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</si>
  <si>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</si>
  <si>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</si>
  <si>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</si>
  <si>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</si>
  <si>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</si>
  <si>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</si>
  <si>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</si>
  <si>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</si>
  <si>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</si>
  <si>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</si>
  <si>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</si>
  <si>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</si>
  <si>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</si>
  <si>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</si>
  <si>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</si>
  <si>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</si>
  <si>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</si>
  <si>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</si>
  <si>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</si>
  <si>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</si>
  <si>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</si>
  <si>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</si>
  <si>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</si>
  <si>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</si>
  <si>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</si>
  <si>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</si>
  <si>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</si>
  <si>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</si>
  <si>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</si>
  <si>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</si>
  <si>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</si>
  <si>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</si>
  <si>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</si>
  <si>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</si>
  <si>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</si>
  <si>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</si>
  <si>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</si>
  <si>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</si>
  <si>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</si>
  <si>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</si>
  <si>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</si>
  <si>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</si>
  <si>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</si>
  <si>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</si>
  <si>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</si>
  <si>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</si>
  <si>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</si>
  <si>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</si>
  <si>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</si>
  <si>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</si>
  <si>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</si>
  <si>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</si>
  <si>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</si>
  <si>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</si>
  <si>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</si>
  <si>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</si>
  <si>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</si>
  <si>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</si>
  <si>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</si>
  <si>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</si>
  <si>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</si>
  <si>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</si>
  <si>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</si>
  <si>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</si>
  <si>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</si>
  <si>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</si>
  <si>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</si>
  <si>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</si>
  <si>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</si>
  <si>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</si>
  <si>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</si>
  <si>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</si>
  <si>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</si>
  <si>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</si>
  <si>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</si>
  <si>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</si>
  <si>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</si>
  <si>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</si>
  <si>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</si>
  <si>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</si>
  <si>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</si>
  <si>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</si>
  <si>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</si>
  <si>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</si>
  <si>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</si>
  <si>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</si>
  <si>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</si>
  <si>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</si>
  <si>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</si>
  <si>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</si>
  <si>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</si>
  <si>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</si>
  <si>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</si>
  <si>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</si>
  <si>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</si>
  <si>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</si>
  <si>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</si>
  <si>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</si>
  <si>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</si>
  <si>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</si>
  <si>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</si>
  <si>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</si>
  <si>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</si>
  <si>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</si>
  <si>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</si>
  <si>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</si>
  <si>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</si>
  <si>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</si>
  <si>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</si>
  <si>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</si>
  <si>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</si>
  <si>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</si>
  <si>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</si>
  <si>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</si>
  <si>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</si>
  <si>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</si>
  <si>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</si>
  <si>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</si>
  <si>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</si>
  <si>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</si>
  <si>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</si>
  <si>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</si>
  <si>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</si>
  <si>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</si>
  <si>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</si>
  <si>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</si>
  <si>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</si>
  <si>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</si>
  <si>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</si>
  <si>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</si>
  <si>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</si>
  <si>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</si>
  <si>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</si>
  <si>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</si>
  <si>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</si>
  <si>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</si>
  <si>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</si>
  <si>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</si>
  <si>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</si>
  <si>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</si>
  <si>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</si>
  <si>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</si>
  <si>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</si>
  <si>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</si>
  <si>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</si>
  <si>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</si>
  <si>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</si>
  <si>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</si>
  <si>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</si>
  <si>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</si>
  <si>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</si>
  <si>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</si>
  <si>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</si>
  <si>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</si>
  <si>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</si>
  <si>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</si>
  <si>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</si>
  <si>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</si>
  <si>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</si>
  <si>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</si>
  <si>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</si>
  <si>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</si>
  <si>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</si>
  <si>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</si>
  <si>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</si>
  <si>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</si>
  <si>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</si>
  <si>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</si>
  <si>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</si>
  <si>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</si>
  <si>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</si>
  <si>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</si>
  <si>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</si>
  <si>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</si>
  <si>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</si>
  <si>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</si>
  <si>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</si>
  <si>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</si>
  <si>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</si>
  <si>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</si>
  <si>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</si>
  <si>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</si>
  <si>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</si>
  <si>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</si>
  <si>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</si>
  <si>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</si>
  <si>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</si>
  <si>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</si>
  <si>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</si>
  <si>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</si>
  <si>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</si>
  <si>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</si>
  <si>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</si>
  <si>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</si>
  <si>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</si>
  <si>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</si>
  <si>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</si>
  <si>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</si>
  <si>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</si>
  <si>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</si>
  <si>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</si>
  <si>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</si>
  <si>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</si>
  <si>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</si>
  <si>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</si>
  <si>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</si>
  <si>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</si>
  <si>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</si>
  <si>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</si>
  <si>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</si>
  <si>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</si>
  <si>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</si>
  <si>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</si>
  <si>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</si>
  <si>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</si>
  <si>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</si>
  <si>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</si>
  <si>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</si>
  <si>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</si>
  <si>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</si>
  <si>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</si>
  <si>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</si>
  <si>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</si>
  <si>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</si>
  <si>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</si>
  <si>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</si>
  <si>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</si>
  <si>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</si>
  <si>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</si>
  <si>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</si>
  <si>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</si>
  <si>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</si>
  <si>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</si>
  <si>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</si>
  <si>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</si>
  <si>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</si>
  <si>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</si>
  <si>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</si>
  <si>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</si>
  <si>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</si>
  <si>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</si>
  <si>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</si>
  <si>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</si>
  <si>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</si>
  <si>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</si>
  <si>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</si>
  <si>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</si>
  <si>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</si>
  <si>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</si>
  <si>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</si>
  <si>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</si>
  <si>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</si>
  <si>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</si>
  <si>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</si>
  <si>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</si>
  <si>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</si>
  <si>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</si>
  <si>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</si>
  <si>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</si>
  <si>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</si>
  <si>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</si>
  <si>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</si>
  <si>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</si>
  <si>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</si>
  <si>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</si>
  <si>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</si>
  <si>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</si>
  <si>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</si>
  <si>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</si>
  <si>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</si>
  <si>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</si>
  <si>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</si>
  <si>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</si>
  <si>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</si>
  <si>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</si>
  <si>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</si>
  <si>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</si>
  <si>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</si>
  <si>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</si>
  <si>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</si>
  <si>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</si>
  <si>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</si>
  <si>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</si>
  <si>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</si>
  <si>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</si>
  <si>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</si>
  <si>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</si>
  <si>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</si>
  <si>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</si>
  <si>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</si>
  <si>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</si>
  <si>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</si>
  <si>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</si>
  <si>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</si>
  <si>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</si>
  <si>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</si>
  <si>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</si>
  <si>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</si>
  <si>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</si>
  <si>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</si>
  <si>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</si>
  <si>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</si>
  <si>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</si>
  <si>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</si>
  <si>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</si>
  <si>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</si>
  <si>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</si>
  <si>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</si>
  <si>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</si>
  <si>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</si>
  <si>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</si>
  <si>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</si>
  <si>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</si>
  <si>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</si>
  <si>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</si>
  <si>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</si>
  <si>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</si>
  <si>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</si>
  <si>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</si>
  <si>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</si>
  <si>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</si>
  <si>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</si>
  <si>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</si>
  <si>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</si>
  <si>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</si>
  <si>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</si>
  <si>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</si>
  <si>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</si>
  <si>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</si>
  <si>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</si>
  <si>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</si>
  <si>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</si>
  <si>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</si>
  <si>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</si>
  <si>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</si>
  <si>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</si>
  <si>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</si>
  <si>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</si>
  <si>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</si>
  <si>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</si>
  <si>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</si>
  <si>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</si>
  <si>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</si>
  <si>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</si>
  <si>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</si>
  <si>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</si>
  <si>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</si>
  <si>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</si>
  <si>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</si>
  <si>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</si>
  <si>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</si>
  <si>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</si>
  <si>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</si>
  <si>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</si>
  <si>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</si>
  <si>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</si>
  <si>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</si>
  <si>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</si>
  <si>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</si>
  <si>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</si>
  <si>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</si>
  <si>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</si>
  <si>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</si>
  <si>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</si>
  <si>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</si>
  <si>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</si>
  <si>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</si>
  <si>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</si>
  <si>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</si>
  <si>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</si>
  <si>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</si>
  <si>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</si>
  <si>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</si>
  <si>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</si>
  <si>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</si>
  <si>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</si>
  <si>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</si>
  <si>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</si>
  <si>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</si>
  <si>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</si>
  <si>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</si>
  <si>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</si>
  <si>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</si>
  <si>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</si>
  <si>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</si>
  <si>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</si>
  <si>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</si>
  <si>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</si>
  <si>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</si>
  <si>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</si>
  <si>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</si>
  <si>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</si>
  <si>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</si>
  <si>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</si>
  <si>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</si>
  <si>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</si>
  <si>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</si>
  <si>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</si>
  <si>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</si>
  <si>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</si>
  <si>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</si>
  <si>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</si>
  <si>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</si>
  <si>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</si>
  <si>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</si>
  <si>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</si>
  <si>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</si>
  <si>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</si>
  <si>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</si>
  <si>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</si>
  <si>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</si>
  <si>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</si>
  <si>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</si>
  <si>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</si>
  <si>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</si>
  <si>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</si>
  <si>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</si>
  <si>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</si>
  <si>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</si>
  <si>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</si>
  <si>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</si>
  <si>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</si>
  <si>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</si>
  <si>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</si>
  <si>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</si>
  <si>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</si>
  <si>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</si>
  <si>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</si>
  <si>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</si>
  <si>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</si>
  <si>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</si>
  <si>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</si>
  <si>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</si>
  <si>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</si>
  <si>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</si>
  <si>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</si>
  <si>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</si>
  <si>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</si>
  <si>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</si>
  <si>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</si>
  <si>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</si>
  <si>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</si>
  <si>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</si>
  <si>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</si>
  <si>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</si>
  <si>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</si>
  <si>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</si>
  <si>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</si>
  <si>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</si>
  <si>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</si>
  <si>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</si>
  <si>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</si>
  <si>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</si>
  <si>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</si>
  <si>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</si>
  <si>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</si>
  <si>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</si>
  <si>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</si>
  <si>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</si>
  <si>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</si>
  <si>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</si>
  <si>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</si>
  <si>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</si>
  <si>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</si>
  <si>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</si>
  <si>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</si>
  <si>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</si>
  <si>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</si>
  <si>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</si>
  <si>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</si>
  <si>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</si>
  <si>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</si>
  <si>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</si>
  <si>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</si>
  <si>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</si>
  <si>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</si>
  <si>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</si>
  <si>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</si>
  <si>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</si>
  <si>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</si>
  <si>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</si>
  <si>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</si>
  <si>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</si>
  <si>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</si>
  <si>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</si>
  <si>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</si>
  <si>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</si>
  <si>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</si>
  <si>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</si>
  <si>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</si>
  <si>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</si>
  <si>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</si>
  <si>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</si>
  <si>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</si>
  <si>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</si>
  <si>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</si>
  <si>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</si>
  <si>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</si>
  <si>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</si>
  <si>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</si>
  <si>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</si>
  <si>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</si>
  <si>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</si>
  <si>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</si>
  <si>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</si>
  <si>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</si>
  <si>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</si>
  <si>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</si>
  <si>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</si>
  <si>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</si>
  <si>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</si>
  <si>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</si>
  <si>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</si>
  <si>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</si>
  <si>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</si>
  <si>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</si>
  <si>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</si>
  <si>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</si>
  <si>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</si>
  <si>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</si>
  <si>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</si>
  <si>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</si>
  <si>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</si>
  <si>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</si>
  <si>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</si>
  <si>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</si>
  <si>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</si>
  <si>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</si>
  <si>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</si>
  <si>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</si>
  <si>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</si>
  <si>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</si>
  <si>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</si>
  <si>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</si>
  <si>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</si>
  <si>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</si>
  <si>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</si>
  <si>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</si>
  <si>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</si>
  <si>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</si>
  <si>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</si>
  <si>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</si>
  <si>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</si>
  <si>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</si>
  <si>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</si>
  <si>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</si>
  <si>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</si>
  <si>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</si>
  <si>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</si>
  <si>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</si>
  <si>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</si>
  <si>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</si>
  <si>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</si>
  <si>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</si>
  <si>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</si>
  <si>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</si>
  <si>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</si>
  <si>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</si>
  <si>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</si>
  <si>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</si>
  <si>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</si>
  <si>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</si>
  <si>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</si>
  <si>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</si>
  <si>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</si>
  <si>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</si>
  <si>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</si>
  <si>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</si>
  <si>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</si>
  <si>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</si>
  <si>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</si>
  <si>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</si>
  <si>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</si>
  <si>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</si>
  <si>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</si>
  <si>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</si>
  <si>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</si>
  <si>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</si>
  <si>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</si>
  <si>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</si>
  <si>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</si>
  <si>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</si>
  <si>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</si>
  <si>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</si>
  <si>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</si>
  <si>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</si>
  <si>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</si>
  <si>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</si>
  <si>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</si>
  <si>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</si>
  <si>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</si>
  <si>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</si>
  <si>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</si>
  <si>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</si>
  <si>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</si>
  <si>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</si>
  <si>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</si>
  <si>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</si>
  <si>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</si>
  <si>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</si>
  <si>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</si>
  <si>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</si>
  <si>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</si>
  <si>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</si>
  <si>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</si>
  <si>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</si>
  <si>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</si>
  <si>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</si>
  <si>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</si>
  <si>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</si>
  <si>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</si>
  <si>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</si>
  <si>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</si>
  <si>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</si>
  <si>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</si>
  <si>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</si>
  <si>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</si>
  <si>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</si>
  <si>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</si>
  <si>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</si>
  <si>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</si>
  <si>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</si>
  <si>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</si>
  <si>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</si>
  <si>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</si>
  <si>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</si>
  <si>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</si>
  <si>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</si>
  <si>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</si>
  <si>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</si>
  <si>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</si>
  <si>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</si>
  <si>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</si>
  <si>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</si>
  <si>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</si>
  <si>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</si>
  <si>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</si>
  <si>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</si>
  <si>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</si>
  <si>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</si>
  <si>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</si>
  <si>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</si>
  <si>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</si>
  <si>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</si>
  <si>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</si>
  <si>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</si>
  <si>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</si>
  <si>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</si>
  <si>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</si>
  <si>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</si>
  <si>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</si>
  <si>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</si>
  <si>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</si>
  <si>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</si>
  <si>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</si>
  <si>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</si>
  <si>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</si>
  <si>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</si>
  <si>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</si>
  <si>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</si>
  <si>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</si>
  <si>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</si>
  <si>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</si>
  <si>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</si>
  <si>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</si>
  <si>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</si>
  <si>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</si>
  <si>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</si>
  <si>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</si>
  <si>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</si>
  <si>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</si>
  <si>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</si>
  <si>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</si>
  <si>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</si>
  <si>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</si>
  <si>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</si>
  <si>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</si>
  <si>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</si>
  <si>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</si>
  <si>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</si>
  <si>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Meeting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</si>
  <si>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</si>
  <si>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</si>
  <si>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</si>
  <si>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</si>
  <si>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</si>
  <si>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Bash - PON number now can only take digits, any char or symbols cannot be entered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</si>
  <si>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</si>
  <si>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</si>
  <si>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</si>
  <si>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</si>
  <si>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 xml:space="preserve"> ElseIf IsEmpty(TestRange(i)) Then ActiveSheet.ListObjects("Membranes").ListRows(i - 1).Delete</t>
  </si>
  <si>
    <t>D:\EX Area\Manufacturing Archives\Components</t>
  </si>
  <si>
    <t>D:\EX Area\Manufacturing Archives\Products</t>
  </si>
  <si>
    <t>D:\EX Area\Manufacturing Archives</t>
  </si>
  <si>
    <t>CoC</t>
  </si>
  <si>
    <t>NCR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</si>
</sst>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m/d/yyyy"/>
    <numFmt numFmtId="166" formatCode="dd\ mmm\ yyyy"/>
    <numFmt numFmtId="167" formatCode="[$-809]dd\ mmmm\ yyyy;@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34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right" vertical="top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  <xf numFmtId="0" fontId="9" fillId="17" borderId="0" xfId="0" applyFont="1" applyFill="1" applyAlignment="1" applyProtection="1">
      <alignment horizontal="center" vertical="center"/>
    </xf>
    <xf numFmtId="166" fontId="0" fillId="20" borderId="0" xfId="0" applyNumberFormat="1" applyFill="1" applyProtection="1"/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92"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=""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=""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=""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="" xmlns:a16="http://schemas.microsoft.com/office/drawing/2014/main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="" xmlns:a16="http://schemas.microsoft.com/office/drawing/2014/main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=""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=""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=""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=""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=""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=""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=""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=""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191" dataDxfId="190" tableBorderDxfId="189">
  <autoFilter ref="A3:L10"/>
  <tableColumns count="12">
    <tableColumn id="1" name="Date Delivered" dataDxfId="188"/>
    <tableColumn id="2" name="PSC Vodec Purchase Order Number" dataDxfId="187"/>
    <tableColumn id="9" name="Type" dataDxfId="186"/>
    <tableColumn id="12" name="CoC" dataDxfId="185"/>
    <tableColumn id="11" name="NCR" dataDxfId="184"/>
    <tableColumn id="3" name="Sub-contractor Serial Number" dataDxfId="183"/>
    <tableColumn id="4" name="Assigned" dataDxfId="182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81"/>
    <tableColumn id="6" name="QAI0005" dataDxfId="180"/>
    <tableColumn id="7" name="TP0054" dataDxfId="179"/>
    <tableColumn id="10" name="Availability VAP100A" dataDxfId="178">
      <calculatedColumnFormula>IF(VAP100AE[[#This Row],[Type]]="VAP100A",IF(VAP100AE[[#This Row],[TP0054]]="PASS",IF(G4=0,IF(G4="","",F4),""),""),"")</calculatedColumnFormula>
    </tableColumn>
    <tableColumn id="8" name="Availability VAP100E" dataDxfId="177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4" totalsRowShown="0" headerRowDxfId="176" dataDxfId="29">
  <autoFilter ref="M3:X4"/>
  <tableColumns count="12">
    <tableColumn id="1" name="Date" dataDxfId="41"/>
    <tableColumn id="2" name="PSC PO No" dataDxfId="40"/>
    <tableColumn id="3" name="Type" dataDxfId="39"/>
    <tableColumn id="11" name="CoC" dataDxfId="38"/>
    <tableColumn id="12" name="NCR" dataDxfId="37"/>
    <tableColumn id="4" name="Sub-contractor SN" dataDxfId="36"/>
    <tableColumn id="5" name="Assigned" dataDxfId="35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34"/>
    <tableColumn id="7" name="QAI0006" dataDxfId="33"/>
    <tableColumn id="10" name="TP0095" dataDxfId="32"/>
    <tableColumn id="9" name="Availability DX3MC16" dataDxfId="31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30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4" totalsRowShown="0" headerRowDxfId="175" dataDxfId="14">
  <autoFilter ref="Y3:AL4"/>
  <tableColumns count="14">
    <tableColumn id="1" name="ID" dataDxfId="28"/>
    <tableColumn id="2" name="Date" dataDxfId="27"/>
    <tableColumn id="3" name="Type" dataDxfId="26"/>
    <tableColumn id="4" name="Membrane SN" dataDxfId="25"/>
    <tableColumn id="5" name="VAP100 SN 1" dataDxfId="24"/>
    <tableColumn id="6" name="VAP100 SN 2" dataDxfId="23"/>
    <tableColumn id="7" name="TP0094/96" dataDxfId="22"/>
    <tableColumn id="8" name="QAI0008/9" dataDxfId="21"/>
    <tableColumn id="9" name="Assigned" dataDxfId="20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9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8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6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5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X4" totalsRowShown="0" headerRowDxfId="174" dataDxfId="172" headerRowBorderDxfId="173">
  <autoFilter ref="AM3:AX4"/>
  <tableColumns count="12">
    <tableColumn id="1" name="PSC Vodec Serial Number" dataDxfId="171"/>
    <tableColumn id="11" name="Panel Type" dataDxfId="170"/>
    <tableColumn id="12" name="ATEX/IECEx?" dataDxfId="169"/>
    <tableColumn id="2" name="ID/SN" dataDxfId="168"/>
    <tableColumn id="3" name="W/O " dataDxfId="167"/>
    <tableColumn id="4" name="Project Name" dataDxfId="166"/>
    <tableColumn id="5" name="Sales Office" dataDxfId="165"/>
    <tableColumn id="6" name="Despatch Date" dataDxfId="164"/>
    <tableColumn id="7" name="Outwards Documentation" dataDxfId="163"/>
    <tableColumn id="8" name="NCR # (if applicable)" dataDxfId="162"/>
    <tableColumn id="9" name="RMA # (if applicable)" dataDxfId="161"/>
    <tableColumn id="10" name="Comment/Fault or Recall" dataDxfId="16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9" dataDxfId="157" headerRowBorderDxfId="158" tableBorderDxfId="156">
  <autoFilter ref="A3:H9"/>
  <tableColumns count="8">
    <tableColumn id="1" name="Date Delivered" dataDxfId="155"/>
    <tableColumn id="2" name="Bartec Vodec Purchase Order Number" dataDxfId="154"/>
    <tableColumn id="3" name="Sub-contractor Serial Number" dataDxfId="153"/>
    <tableColumn id="8" name="Assigned" dataDxfId="152">
      <calculatedColumnFormula>IF(AND(COUNTIF('VB3'!$AM$4:$AM$4,C4)=1,VB3_PCB[[#This Row],[QAI0001]]="PASS",VB3_PCB[[#This Row],[TP0066]]="PASS"),1,0)</calculatedColumnFormula>
    </tableColumn>
    <tableColumn id="4" name="Delivery Received &amp; Filed" dataDxfId="151"/>
    <tableColumn id="5" name="QAI0001" dataDxfId="150"/>
    <tableColumn id="6" name="TP0066" dataDxfId="149"/>
    <tableColumn id="7" name="Availability List" dataDxfId="148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7" dataDxfId="145" headerRowBorderDxfId="146" tableBorderDxfId="144">
  <autoFilter ref="I3:O4"/>
  <tableColumns count="7">
    <tableColumn id="1" name="Date Delivered" dataDxfId="143"/>
    <tableColumn id="2" name="Bartec Vodec Purchase Order" dataDxfId="142"/>
    <tableColumn id="3" name="Delivery Received &amp; Filed" dataDxfId="141"/>
    <tableColumn id="6" name="Assigned" dataDxfId="140">
      <calculatedColumnFormula>IF(AND(COUNTIF('VB3'!$AD$4:$AD$4,M4)=1,VB3_Castings[[#This Row],[QAI0002]]="PASS"),1,0)</calculatedColumnFormula>
    </tableColumn>
    <tableColumn id="4" name="Component Serial Number" dataDxfId="139"/>
    <tableColumn id="5" name="QAI0002" dataDxfId="138"/>
    <tableColumn id="7" name="Availability List" dataDxfId="137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6" dataDxfId="134" headerRowBorderDxfId="135" tableBorderDxfId="133">
  <autoFilter ref="P3:V4"/>
  <tableColumns count="7">
    <tableColumn id="1" name="Date Delivered" dataDxfId="132"/>
    <tableColumn id="2" name="Bartec Vodec Purchase Order" dataDxfId="131"/>
    <tableColumn id="3" name="Delivery Received &amp; Filed" dataDxfId="130"/>
    <tableColumn id="6" name="Assigned" dataDxfId="129">
      <calculatedColumnFormula>IF(AND(COUNTIF('VB3'!$AE$4:$AE$4,T4)=1,VB3_Wellglass[[#This Row],[QAI0003]]="PASS"),1,0)</calculatedColumnFormula>
    </tableColumn>
    <tableColumn id="4" name="Component Serial Number" dataDxfId="128"/>
    <tableColumn id="5" name="QAI0003" dataDxfId="127"/>
    <tableColumn id="7" name="Availability List" dataDxfId="126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5" dataDxfId="123" headerRowBorderDxfId="124" tableBorderDxfId="122">
  <autoFilter ref="W3:AI4"/>
  <tableColumns count="13">
    <tableColumn id="1" name="Preassembly ID" dataDxfId="121"/>
    <tableColumn id="12" name="Assigned" dataDxfId="120">
      <calculatedColumnFormula>IF(AND(COUNTIF('VB3'!$AN$4:$AN$4,W4)=1,VB3_Preassembly[[#This Row],[TP0065 Result]]="PASS"),1,0)</calculatedColumnFormula>
    </tableColumn>
    <tableColumn id="11" name="Availability List" dataDxfId="119">
      <calculatedColumnFormula>IF(AI4="PASS",IF(X4=0,IF(X4="","",W4),""),"")</calculatedColumnFormula>
    </tableColumn>
    <tableColumn id="2" name="Stycast Batch Part 1 Serial Number" dataDxfId="118"/>
    <tableColumn id="3" name="Stycast Batch Part 1 Date" dataDxfId="117"/>
    <tableColumn id="4" name="Stycast Batch Part 2 Serial Number" dataDxfId="116"/>
    <tableColumn id="5" name="Stycast Batch Part 2 Date" dataDxfId="115"/>
    <tableColumn id="6" name="Castings Serial Number" dataDxfId="114"/>
    <tableColumn id="7" name="Wellglass Serial Number" dataDxfId="113"/>
    <tableColumn id="8" name="Ambient Temp" dataDxfId="112"/>
    <tableColumn id="9" name="TP0065 Operative" dataDxfId="111"/>
    <tableColumn id="13" name="TP0065 Date" dataDxfId="110"/>
    <tableColumn id="10" name="TP0065 Result" dataDxfId="10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8" dataDxfId="106" headerRowBorderDxfId="107" tableBorderDxfId="105">
  <autoFilter ref="AJ3:AQ4"/>
  <tableColumns count="8">
    <tableColumn id="1" name="Internal ID" dataDxfId="104"/>
    <tableColumn id="7" name="Assigned" dataDxfId="103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102">
      <calculatedColumnFormula>IF(AQ4="PASS",IF(AK4=0,IF(AK4="","",AJ4),""),"")</calculatedColumnFormula>
    </tableColumn>
    <tableColumn id="2" name="PCB Serial Number" dataDxfId="101"/>
    <tableColumn id="3" name="Preassembly ID" dataDxfId="100"/>
    <tableColumn id="8" name="TP0067" dataDxfId="99"/>
    <tableColumn id="4" name="TP0069" dataDxfId="98"/>
    <tableColumn id="5" name="QAI0004" dataDxfId="9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6" tableBorderDxfId="95">
  <autoFilter ref="AR3:BE4"/>
  <tableColumns count="14">
    <tableColumn id="1" name="Bartec Vodec Serial Number" dataDxfId="94"/>
    <tableColumn id="2" name="VB3 Assembly ID" dataDxfId="93"/>
    <tableColumn id="3" name="Voltage" dataDxfId="92"/>
    <tableColumn id="4" name="Colour" dataDxfId="91"/>
    <tableColumn id="5" name="Torquing Up" dataDxfId="90"/>
    <tableColumn id="6" name="QAI0005" dataDxfId="89"/>
    <tableColumn id="7" name="W/O "/>
    <tableColumn id="8" name="Project Name"/>
    <tableColumn id="9" name="Sales Office"/>
    <tableColumn id="10" name="Despatch Date" dataDxfId="88"/>
    <tableColumn id="11" name="Outwards Documentation" dataDxfId="87"/>
    <tableColumn id="12" name="NCR # (if applicable)" dataDxfId="86"/>
    <tableColumn id="13" name="RMA # (if applicable)" dataDxfId="85"/>
    <tableColumn id="14" name="Comment/Fault or Recall" dataDxfId="84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9" totalsRowShown="0" headerRowDxfId="83" dataDxfId="82">
  <autoFilter ref="A3:J9"/>
  <tableColumns count="10">
    <tableColumn id="1" name="Date Delivered" dataDxfId="81"/>
    <tableColumn id="2" name=" PSC Vodec Purchase Order Number" dataDxfId="80"/>
    <tableColumn id="12" name="CoC" dataDxfId="79"/>
    <tableColumn id="9" name="NCR" dataDxfId="78"/>
    <tableColumn id="3" name="Sub-contractor Serial Number" dataDxfId="77"/>
    <tableColumn id="4" name="Assigned" dataDxfId="76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5"/>
    <tableColumn id="6" name="QAI0010" dataDxfId="74"/>
    <tableColumn id="7" name="TP0041" dataDxfId="73"/>
    <tableColumn id="8" name="Availability" dataDxfId="72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71" dataDxfId="70">
  <autoFilter ref="L3:X4"/>
  <tableColumns count="13">
    <tableColumn id="1" name="Date Delivered" dataDxfId="69"/>
    <tableColumn id="2" name="Bartec Vodec Purchase Order Number" dataDxfId="68"/>
    <tableColumn id="3" name="Serial Number" dataDxfId="67"/>
    <tableColumn id="4" name="Type" dataDxfId="66"/>
    <tableColumn id="5" name="Assigned" dataDxfId="65"/>
    <tableColumn id="6" name="Delivery Received &amp; Filed" dataDxfId="64"/>
    <tableColumn id="7" name="QAI0011" dataDxfId="63"/>
    <tableColumn id="8" name="Availiability 11" dataDxfId="62"/>
    <tableColumn id="9" name="Availability 12" dataDxfId="61"/>
    <tableColumn id="10" name="Availability 13" dataDxfId="60"/>
    <tableColumn id="11" name="Availability 21" dataDxfId="59"/>
    <tableColumn id="12" name="Availability 22" dataDxfId="58"/>
    <tableColumn id="13" name="Availability 23" dataDxfId="57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4" totalsRowShown="0" headerRowDxfId="56" dataDxfId="0">
  <autoFilter ref="Y3:AK4"/>
  <tableColumns count="13">
    <tableColumn id="1" name="ID" dataDxfId="13"/>
    <tableColumn id="3" name="Entry Date" dataDxfId="12"/>
    <tableColumn id="2" name="Type" dataDxfId="11"/>
    <tableColumn id="4" name="VAP100B SN" dataDxfId="10"/>
    <tableColumn id="5" name="TP0016" dataDxfId="9"/>
    <tableColumn id="6" name="QAI0011" dataDxfId="8"/>
    <tableColumn id="7" name="Assigned" dataDxfId="7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6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5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2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W4" totalsRowShown="0" headerRowDxfId="55" dataDxfId="54">
  <autoFilter ref="AL3:AW4"/>
  <tableColumns count="12">
    <tableColumn id="1" name="PSC V SN" dataDxfId="53"/>
    <tableColumn id="12" name="VAP01 ID" dataDxfId="52"/>
    <tableColumn id="2" name="Type" dataDxfId="51"/>
    <tableColumn id="3" name="Ex Type" dataDxfId="50"/>
    <tableColumn id="4" name="WO No" dataDxfId="49"/>
    <tableColumn id="5" name="Project" dataDxfId="48"/>
    <tableColumn id="6" name="Sales Office" dataDxfId="47"/>
    <tableColumn id="7" name="Despatch Date" dataDxfId="46"/>
    <tableColumn id="8" name="Outwards Documentation" dataDxfId="45"/>
    <tableColumn id="9" name="NCR # (if applicable)" dataDxfId="44"/>
    <tableColumn id="10" name="RMA # (if applicable)" dataDxfId="43"/>
    <tableColumn id="11" name="Comment/Fault or Recall" dataDxfId="4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84" t="s">
        <v>1272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85">
        <v>1303</v>
      </c>
      <c r="B1177" s="287" t="s">
        <v>1507</v>
      </c>
      <c r="C1177" s="45" t="s">
        <v>1581</v>
      </c>
      <c r="D1177" s="289" t="s">
        <v>1580</v>
      </c>
      <c r="E1177" s="10"/>
      <c r="F1177" s="291" t="s">
        <v>1583</v>
      </c>
      <c r="G1177" s="289" t="s">
        <v>1179</v>
      </c>
      <c r="H1177" s="293">
        <v>42318</v>
      </c>
      <c r="I1177" s="289" t="s">
        <v>1181</v>
      </c>
      <c r="J1177" s="293">
        <v>42318</v>
      </c>
      <c r="K1177" s="43" t="s">
        <v>1584</v>
      </c>
    </row>
    <row r="1178" spans="1:11" x14ac:dyDescent="0.25">
      <c r="A1178" s="286"/>
      <c r="B1178" s="288"/>
      <c r="C1178" s="45" t="s">
        <v>1582</v>
      </c>
      <c r="D1178" s="290"/>
      <c r="E1178" s="10"/>
      <c r="F1178" s="292"/>
      <c r="G1178" s="290"/>
      <c r="H1178" s="294"/>
      <c r="I1178" s="290"/>
      <c r="J1178" s="294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85">
        <v>1306</v>
      </c>
      <c r="B1187" s="287" t="s">
        <v>257</v>
      </c>
      <c r="C1187" s="45" t="s">
        <v>1599</v>
      </c>
      <c r="D1187" s="289" t="s">
        <v>1601</v>
      </c>
      <c r="E1187" s="10"/>
      <c r="F1187" s="289" t="s">
        <v>33</v>
      </c>
      <c r="G1187" s="289" t="s">
        <v>1202</v>
      </c>
      <c r="H1187" s="293">
        <v>42388</v>
      </c>
      <c r="I1187" s="289" t="s">
        <v>1368</v>
      </c>
      <c r="J1187" s="289" t="s">
        <v>1602</v>
      </c>
      <c r="K1187" s="287" t="s">
        <v>1603</v>
      </c>
    </row>
    <row r="1188" spans="1:11" x14ac:dyDescent="0.25">
      <c r="A1188" s="286"/>
      <c r="B1188" s="288"/>
      <c r="C1188" s="80" t="s">
        <v>1600</v>
      </c>
      <c r="D1188" s="290"/>
      <c r="E1188" s="10"/>
      <c r="F1188" s="290"/>
      <c r="G1188" s="290"/>
      <c r="H1188" s="294"/>
      <c r="I1188" s="290"/>
      <c r="J1188" s="290"/>
      <c r="K1188" s="288"/>
    </row>
    <row r="1189" spans="1:11" x14ac:dyDescent="0.25">
      <c r="A1189" s="285">
        <v>1307</v>
      </c>
      <c r="B1189" s="287" t="s">
        <v>257</v>
      </c>
      <c r="C1189" s="45" t="s">
        <v>1604</v>
      </c>
      <c r="D1189" s="289" t="s">
        <v>1601</v>
      </c>
      <c r="E1189" s="10"/>
      <c r="F1189" s="289" t="s">
        <v>33</v>
      </c>
      <c r="G1189" s="289" t="s">
        <v>1202</v>
      </c>
      <c r="H1189" s="293">
        <v>42388</v>
      </c>
      <c r="I1189" s="289" t="s">
        <v>1368</v>
      </c>
      <c r="J1189" s="289" t="s">
        <v>1602</v>
      </c>
      <c r="K1189" s="287" t="s">
        <v>1606</v>
      </c>
    </row>
    <row r="1190" spans="1:11" x14ac:dyDescent="0.25">
      <c r="A1190" s="286"/>
      <c r="B1190" s="288"/>
      <c r="C1190" s="80" t="s">
        <v>1605</v>
      </c>
      <c r="D1190" s="290"/>
      <c r="E1190" s="10"/>
      <c r="F1190" s="290"/>
      <c r="G1190" s="290"/>
      <c r="H1190" s="294"/>
      <c r="I1190" s="290"/>
      <c r="J1190" s="290"/>
      <c r="K1190" s="288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1187:A1188"/>
    <mergeCell ref="A1189:A1190"/>
    <mergeCell ref="B1189:B1190"/>
    <mergeCell ref="D1189:D1190"/>
    <mergeCell ref="F1189:F1190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X106"/>
  <sheetViews>
    <sheetView zoomScale="90" zoomScaleNormal="90" workbookViewId="0">
      <pane ySplit="3" topLeftCell="A4" activePane="bottomLeft" state="frozen"/>
      <selection pane="bottomLeft" activeCell="A4" sqref="A4:L10"/>
    </sheetView>
  </sheetViews>
  <sheetFormatPr defaultRowHeight="12.5" x14ac:dyDescent="0.25"/>
  <cols>
    <col min="1" max="1" width="19.1796875" style="265" bestFit="1" customWidth="1"/>
    <col min="2" max="2" width="15.54296875" customWidth="1"/>
    <col min="3" max="3" width="13.81640625" customWidth="1"/>
    <col min="4" max="5" width="18.54296875" customWidth="1"/>
    <col min="6" max="6" width="19.08984375" bestFit="1" customWidth="1"/>
    <col min="7" max="7" width="15.453125" style="265" customWidth="1"/>
    <col min="8" max="8" width="18.0898437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139" bestFit="1" customWidth="1"/>
    <col min="14" max="14" width="11.81640625" customWidth="1"/>
    <col min="15" max="15" width="11" bestFit="1" customWidth="1"/>
    <col min="16" max="17" width="11" customWidth="1"/>
    <col min="18" max="18" width="17.1796875" customWidth="1"/>
    <col min="19" max="19" width="11" customWidth="1"/>
    <col min="20" max="20" width="16.453125" style="139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2.1796875" style="139" customWidth="1"/>
    <col min="27" max="27" width="11.1796875" customWidth="1"/>
    <col min="28" max="28" width="15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15.81640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customWidth="1"/>
    <col min="47" max="47" width="25.1796875" customWidth="1"/>
    <col min="48" max="49" width="20.54296875" customWidth="1"/>
    <col min="50" max="50" width="25.81640625" customWidth="1"/>
  </cols>
  <sheetData>
    <row r="1" spans="1:50" ht="13" x14ac:dyDescent="0.25">
      <c r="A1" s="295" t="s">
        <v>1658</v>
      </c>
      <c r="B1" s="295"/>
      <c r="C1" s="295"/>
      <c r="D1" s="295"/>
      <c r="E1" s="295"/>
      <c r="F1" s="295"/>
      <c r="G1" s="295"/>
      <c r="H1" s="295"/>
      <c r="I1" s="295"/>
      <c r="J1" s="157"/>
      <c r="K1" s="273"/>
      <c r="L1" s="154"/>
      <c r="M1" s="297" t="s">
        <v>1660</v>
      </c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8" t="s">
        <v>1678</v>
      </c>
      <c r="Z1" s="298"/>
      <c r="AA1" s="298"/>
      <c r="AB1" s="298"/>
      <c r="AC1" s="298"/>
      <c r="AD1" s="298"/>
      <c r="AE1" s="298"/>
      <c r="AF1" s="298"/>
      <c r="AG1" s="298"/>
      <c r="AH1" s="298"/>
      <c r="AI1" s="298"/>
      <c r="AJ1" s="298"/>
      <c r="AK1" s="298"/>
      <c r="AL1" s="298"/>
      <c r="AM1" s="299" t="s">
        <v>1672</v>
      </c>
      <c r="AN1" s="299"/>
      <c r="AO1" s="299"/>
      <c r="AP1" s="299"/>
      <c r="AQ1" s="299"/>
      <c r="AR1" s="299"/>
      <c r="AS1" s="299"/>
      <c r="AT1" s="299"/>
      <c r="AU1" s="299"/>
      <c r="AV1" s="299"/>
      <c r="AW1" s="299"/>
      <c r="AX1" s="299"/>
    </row>
    <row r="2" spans="1:50" ht="13" x14ac:dyDescent="0.25">
      <c r="A2" s="296"/>
      <c r="B2" s="296"/>
      <c r="C2" s="296"/>
      <c r="D2" s="296"/>
      <c r="E2" s="296"/>
      <c r="F2" s="296"/>
      <c r="G2" s="296"/>
      <c r="H2" s="296"/>
      <c r="I2" s="296"/>
      <c r="J2" s="155"/>
      <c r="K2" s="155"/>
      <c r="L2" s="155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8"/>
      <c r="Z2" s="298"/>
      <c r="AA2" s="298"/>
      <c r="AB2" s="298"/>
      <c r="AC2" s="298"/>
      <c r="AD2" s="298"/>
      <c r="AE2" s="298"/>
      <c r="AF2" s="298"/>
      <c r="AG2" s="298"/>
      <c r="AH2" s="298"/>
      <c r="AI2" s="298"/>
      <c r="AJ2" s="298"/>
      <c r="AK2" s="298"/>
      <c r="AL2" s="298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</row>
    <row r="3" spans="1:50" ht="39" x14ac:dyDescent="0.25">
      <c r="A3" s="262" t="s">
        <v>692</v>
      </c>
      <c r="B3" s="123" t="s">
        <v>1712</v>
      </c>
      <c r="C3" s="123" t="s">
        <v>1659</v>
      </c>
      <c r="D3" s="123" t="s">
        <v>1835</v>
      </c>
      <c r="E3" s="123" t="s">
        <v>1836</v>
      </c>
      <c r="F3" s="124" t="s">
        <v>2</v>
      </c>
      <c r="G3" s="124" t="s">
        <v>1637</v>
      </c>
      <c r="H3" s="267" t="s">
        <v>1613</v>
      </c>
      <c r="I3" s="176" t="s">
        <v>1633</v>
      </c>
      <c r="J3" s="177" t="s">
        <v>1657</v>
      </c>
      <c r="K3" s="153" t="s">
        <v>1668</v>
      </c>
      <c r="L3" s="156" t="s">
        <v>1669</v>
      </c>
      <c r="M3" s="215" t="s">
        <v>1661</v>
      </c>
      <c r="N3" s="158" t="s">
        <v>1784</v>
      </c>
      <c r="O3" s="158" t="s">
        <v>1659</v>
      </c>
      <c r="P3" s="158" t="s">
        <v>1835</v>
      </c>
      <c r="Q3" s="158" t="s">
        <v>1836</v>
      </c>
      <c r="R3" s="159" t="s">
        <v>1662</v>
      </c>
      <c r="S3" s="159" t="s">
        <v>1637</v>
      </c>
      <c r="T3" s="217" t="s">
        <v>1613</v>
      </c>
      <c r="U3" s="159" t="s">
        <v>1663</v>
      </c>
      <c r="V3" s="159" t="s">
        <v>1793</v>
      </c>
      <c r="W3" s="159" t="s">
        <v>1671</v>
      </c>
      <c r="X3" s="159" t="s">
        <v>1670</v>
      </c>
      <c r="Y3" s="163" t="s">
        <v>1664</v>
      </c>
      <c r="Z3" s="216" t="s">
        <v>1661</v>
      </c>
      <c r="AA3" s="163" t="s">
        <v>1659</v>
      </c>
      <c r="AB3" s="163" t="s">
        <v>1665</v>
      </c>
      <c r="AC3" s="163" t="s">
        <v>1666</v>
      </c>
      <c r="AD3" s="163" t="s">
        <v>1667</v>
      </c>
      <c r="AE3" s="163" t="s">
        <v>1794</v>
      </c>
      <c r="AF3" s="163" t="s">
        <v>1679</v>
      </c>
      <c r="AG3" s="163" t="s">
        <v>1637</v>
      </c>
      <c r="AH3" s="163" t="s">
        <v>1671</v>
      </c>
      <c r="AI3" s="163" t="s">
        <v>1674</v>
      </c>
      <c r="AJ3" s="163" t="s">
        <v>1675</v>
      </c>
      <c r="AK3" s="163" t="s">
        <v>1676</v>
      </c>
      <c r="AL3" s="163" t="s">
        <v>1677</v>
      </c>
      <c r="AM3" s="160" t="s">
        <v>1711</v>
      </c>
      <c r="AN3" s="160" t="s">
        <v>1673</v>
      </c>
      <c r="AO3" s="160" t="s">
        <v>1680</v>
      </c>
      <c r="AP3" s="160" t="s">
        <v>1706</v>
      </c>
      <c r="AQ3" s="161" t="s">
        <v>3</v>
      </c>
      <c r="AR3" s="161" t="s">
        <v>4</v>
      </c>
      <c r="AS3" s="161" t="s">
        <v>1622</v>
      </c>
      <c r="AT3" s="161" t="s">
        <v>5</v>
      </c>
      <c r="AU3" s="162" t="s">
        <v>1615</v>
      </c>
      <c r="AV3" s="162" t="s">
        <v>194</v>
      </c>
      <c r="AW3" s="162" t="s">
        <v>195</v>
      </c>
      <c r="AX3" s="161" t="s">
        <v>6</v>
      </c>
    </row>
    <row r="4" spans="1:50" x14ac:dyDescent="0.25">
      <c r="A4" s="263"/>
      <c r="B4" s="179"/>
      <c r="C4" s="179"/>
      <c r="D4" s="179"/>
      <c r="E4" s="179"/>
      <c r="F4" s="180"/>
      <c r="G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68"/>
      <c r="I4" s="184"/>
      <c r="J4" s="183"/>
      <c r="K4" s="246" t="str">
        <f>IF(VAP100AE[[#This Row],[Type]]="VAP100A",IF(VAP100AE[[#This Row],[TP0054]]="PASS",IF(G4=0,IF(G4="","",F4),""),""),"")</f>
        <v/>
      </c>
      <c r="L4" s="180" t="str">
        <f>IF(VAP100AE[[#This Row],[Type]]="VAP100E",IF(VAP100AE[[#This Row],[TP0054]]="PASS",IF(G4=0,IF(G4="","",F4),""),""),"")</f>
        <v/>
      </c>
      <c r="M4" s="178"/>
      <c r="N4" s="185"/>
      <c r="O4" s="185"/>
      <c r="P4" s="185"/>
      <c r="Q4" s="185"/>
      <c r="R4" s="185"/>
      <c r="S4" s="180">
        <f>IF(AND(COUNTIF(Assembly[Membrane SN],Membranes[[#This Row],[Sub-contractor SN]])=1,Membranes[[#This Row],[QAI0006]]="PASS"),1,0)</f>
        <v>0</v>
      </c>
      <c r="T4" s="182"/>
      <c r="U4" s="183"/>
      <c r="V4" s="183"/>
      <c r="W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80"/>
      <c r="Z4" s="178"/>
      <c r="AA4" s="180"/>
      <c r="AB4" s="183"/>
      <c r="AC4" s="183"/>
      <c r="AD4" s="183"/>
      <c r="AE4" s="183"/>
      <c r="AF4" s="183"/>
      <c r="AG4" s="180">
        <f>IF(AND(COUNTIF(VAP_Destination[ID/SN],Assembly[[#This Row],[ID]])=1,Assembly[[#This Row],[TP0094/96]]="PASS",Assembly[[#This Row],[QAI0008/9]]="PASS"),1,0)</f>
        <v>0</v>
      </c>
      <c r="AH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54">
        <v>0</v>
      </c>
      <c r="AN4" s="251"/>
      <c r="AO4" s="251"/>
      <c r="AP4" s="251"/>
      <c r="AQ4" s="252"/>
      <c r="AR4" s="252"/>
      <c r="AS4" s="252"/>
      <c r="AT4" s="252"/>
      <c r="AU4" s="253"/>
      <c r="AV4" s="253"/>
      <c r="AW4" s="253"/>
      <c r="AX4" s="257"/>
    </row>
    <row r="5" spans="1:50" s="34" customFormat="1" x14ac:dyDescent="0.25">
      <c r="A5" s="264">
        <v>43808</v>
      </c>
      <c r="B5" s="258" t="s">
        <v>1812</v>
      </c>
      <c r="C5" s="259" t="s">
        <v>1507</v>
      </c>
      <c r="D5" s="259"/>
      <c r="E5" s="259"/>
      <c r="F5" s="260" t="s">
        <v>1813</v>
      </c>
      <c r="G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5" s="269">
        <v>44124</v>
      </c>
      <c r="I5" s="199" t="s">
        <v>1641</v>
      </c>
      <c r="J5" s="200" t="s">
        <v>1641</v>
      </c>
      <c r="K5" s="213" t="str">
        <f>IF(VAP100AE[[#This Row],[Type]]="VAP100A",IF(VAP100AE[[#This Row],[TP0054]]="PASS",IF(G5=0,IF(G5="","",F5),""),""),"")</f>
        <v/>
      </c>
      <c r="L5" s="198" t="str">
        <f>IF(VAP100AE[[#This Row],[Type]]="VAP100E",IF(VAP100AE[[#This Row],[TP0054]]="PASS",IF(G5=0,IF(G5="","",F5),""),""),"")</f>
        <v>RN519215/1219/AD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s="34" customFormat="1" x14ac:dyDescent="0.25">
      <c r="A6" s="264">
        <v>43808</v>
      </c>
      <c r="B6" s="258" t="s">
        <v>1812</v>
      </c>
      <c r="C6" s="259" t="s">
        <v>1507</v>
      </c>
      <c r="D6" s="259"/>
      <c r="E6" s="259"/>
      <c r="F6" s="260" t="s">
        <v>1814</v>
      </c>
      <c r="G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6" s="269">
        <v>44124</v>
      </c>
      <c r="I6" s="199" t="s">
        <v>1641</v>
      </c>
      <c r="J6" s="200" t="s">
        <v>1641</v>
      </c>
      <c r="K6" s="213" t="str">
        <f>IF(VAP100AE[[#This Row],[Type]]="VAP100A",IF(VAP100AE[[#This Row],[TP0054]]="PASS",IF(G6=0,IF(G6="","",F6),""),""),"")</f>
        <v/>
      </c>
      <c r="L6" s="198" t="str">
        <f>IF(VAP100AE[[#This Row],[Type]]="VAP100E",IF(VAP100AE[[#This Row],[TP0054]]="PASS",IF(G6=0,IF(G6="","",F6),""),""),"")</f>
        <v>RN/519211/1219/AD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s="34" customFormat="1" x14ac:dyDescent="0.25">
      <c r="A7" s="264">
        <v>43808</v>
      </c>
      <c r="B7" s="258" t="s">
        <v>1812</v>
      </c>
      <c r="C7" s="259" t="s">
        <v>1507</v>
      </c>
      <c r="D7" s="259"/>
      <c r="E7" s="259"/>
      <c r="F7" s="260" t="s">
        <v>1815</v>
      </c>
      <c r="G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7" s="269">
        <v>44124</v>
      </c>
      <c r="I7" s="199" t="s">
        <v>1641</v>
      </c>
      <c r="J7" s="200" t="s">
        <v>1641</v>
      </c>
      <c r="K7" s="213" t="str">
        <f>IF(VAP100AE[[#This Row],[Type]]="VAP100A",IF(VAP100AE[[#This Row],[TP0054]]="PASS",IF(G7=0,IF(G7="","",F7),""),""),"")</f>
        <v/>
      </c>
      <c r="L7" s="198" t="str">
        <f>IF(VAP100AE[[#This Row],[Type]]="VAP100E",IF(VAP100AE[[#This Row],[TP0054]]="PASS",IF(G7=0,IF(G7="","",F7),""),""),"")</f>
        <v>RN/519225/1219/AD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s="34" customFormat="1" x14ac:dyDescent="0.25">
      <c r="A8" s="264">
        <v>43808</v>
      </c>
      <c r="B8" s="258" t="s">
        <v>1812</v>
      </c>
      <c r="C8" s="259" t="s">
        <v>1507</v>
      </c>
      <c r="D8" s="259"/>
      <c r="E8" s="259"/>
      <c r="F8" s="260" t="s">
        <v>1816</v>
      </c>
      <c r="G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8" s="269">
        <v>44124</v>
      </c>
      <c r="I8" s="199" t="s">
        <v>1641</v>
      </c>
      <c r="J8" s="200" t="s">
        <v>1641</v>
      </c>
      <c r="K8" s="213" t="str">
        <f>IF(VAP100AE[[#This Row],[Type]]="VAP100A",IF(VAP100AE[[#This Row],[TP0054]]="PASS",IF(G8=0,IF(G8="","",F8),""),""),"")</f>
        <v/>
      </c>
      <c r="L8" s="198" t="str">
        <f>IF(VAP100AE[[#This Row],[Type]]="VAP100E",IF(VAP100AE[[#This Row],[TP0054]]="PASS",IF(G8=0,IF(G8="","",F8),""),""),"")</f>
        <v>RN/519209/1219/AD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264">
        <v>43808</v>
      </c>
      <c r="B9" s="258" t="s">
        <v>1812</v>
      </c>
      <c r="C9" s="259" t="s">
        <v>1507</v>
      </c>
      <c r="D9" s="259"/>
      <c r="E9" s="259"/>
      <c r="F9" s="260" t="s">
        <v>1817</v>
      </c>
      <c r="G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9" s="269">
        <v>44124</v>
      </c>
      <c r="I9" s="199" t="s">
        <v>1641</v>
      </c>
      <c r="J9" s="200" t="s">
        <v>1641</v>
      </c>
      <c r="K9" s="213" t="str">
        <f>IF(VAP100AE[[#This Row],[Type]]="VAP100A",IF(VAP100AE[[#This Row],[TP0054]]="PASS",IF(G9=0,IF(G9="","",F9),""),""),"")</f>
        <v/>
      </c>
      <c r="L9" s="198" t="str">
        <f>IF(VAP100AE[[#This Row],[Type]]="VAP100E",IF(VAP100AE[[#This Row],[TP0054]]="PASS",IF(G9=0,IF(G9="","",F9),""),""),"")</f>
        <v>RN/519210/1219/AD</v>
      </c>
      <c r="M9"/>
      <c r="T9"/>
      <c r="Z9"/>
    </row>
    <row r="10" spans="1:50" x14ac:dyDescent="0.25">
      <c r="A10" s="264">
        <v>43808</v>
      </c>
      <c r="B10" s="258" t="s">
        <v>1812</v>
      </c>
      <c r="C10" s="259" t="s">
        <v>1507</v>
      </c>
      <c r="D10" s="259"/>
      <c r="E10" s="259"/>
      <c r="F10" s="260" t="s">
        <v>1818</v>
      </c>
      <c r="G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0" s="269">
        <v>44124</v>
      </c>
      <c r="I10" s="199" t="s">
        <v>1641</v>
      </c>
      <c r="J10" s="200" t="s">
        <v>1641</v>
      </c>
      <c r="K10" s="213" t="str">
        <f>IF(VAP100AE[[#This Row],[Type]]="VAP100A",IF(VAP100AE[[#This Row],[TP0054]]="PASS",IF(G10=0,IF(G10="","",F10),""),""),"")</f>
        <v/>
      </c>
      <c r="L10" s="198" t="str">
        <f>IF(VAP100AE[[#This Row],[Type]]="VAP100E",IF(VAP100AE[[#This Row],[TP0054]]="PASS",IF(G10=0,IF(G10="","",F10),""),""),"")</f>
        <v>RN/519223/1219/AD</v>
      </c>
      <c r="M10"/>
      <c r="T10"/>
      <c r="Z10"/>
    </row>
    <row r="11" spans="1:50" x14ac:dyDescent="0.25">
      <c r="A11"/>
      <c r="G11"/>
      <c r="M11"/>
      <c r="T11"/>
      <c r="Z11"/>
    </row>
    <row r="12" spans="1:50" x14ac:dyDescent="0.25">
      <c r="A12"/>
      <c r="G12"/>
      <c r="M12"/>
      <c r="T12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50" x14ac:dyDescent="0.25">
      <c r="A13"/>
      <c r="G13"/>
      <c r="M13"/>
      <c r="T13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</row>
    <row r="14" spans="1:50" x14ac:dyDescent="0.25">
      <c r="A14"/>
      <c r="G14"/>
      <c r="M14"/>
      <c r="T1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</row>
    <row r="15" spans="1:50" x14ac:dyDescent="0.25">
      <c r="A15"/>
      <c r="G15"/>
      <c r="M15"/>
      <c r="T15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</row>
    <row r="16" spans="1:50" x14ac:dyDescent="0.25">
      <c r="A16"/>
      <c r="G16"/>
      <c r="M16"/>
      <c r="T16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</row>
    <row r="17" spans="1:38" x14ac:dyDescent="0.25">
      <c r="A17"/>
      <c r="G17"/>
      <c r="M17"/>
      <c r="T17"/>
      <c r="Y17" s="34"/>
      <c r="Z17" s="34"/>
      <c r="AA17" s="34"/>
      <c r="AB17" s="34"/>
      <c r="AC17" s="34"/>
      <c r="AD17" s="34"/>
      <c r="AE17" s="34"/>
      <c r="AF17" s="34"/>
      <c r="AG17" s="34"/>
      <c r="AH17" s="170"/>
      <c r="AI17" s="170"/>
      <c r="AJ17" s="170"/>
      <c r="AK17" s="170"/>
      <c r="AL17" s="170"/>
    </row>
    <row r="18" spans="1:38" x14ac:dyDescent="0.25">
      <c r="A18"/>
      <c r="G18"/>
      <c r="M18"/>
      <c r="T18"/>
      <c r="Y18" s="34"/>
      <c r="Z18" s="34"/>
      <c r="AA18" s="34"/>
      <c r="AB18" s="34"/>
      <c r="AC18" s="34"/>
      <c r="AD18" s="34"/>
      <c r="AE18" s="34"/>
      <c r="AF18" s="34"/>
      <c r="AG18" s="34"/>
      <c r="AH18" s="170"/>
      <c r="AI18" s="170"/>
      <c r="AJ18" s="170"/>
      <c r="AK18" s="170"/>
      <c r="AL18" s="170"/>
    </row>
    <row r="19" spans="1:38" x14ac:dyDescent="0.25">
      <c r="A19"/>
      <c r="G19"/>
      <c r="M19"/>
      <c r="T19"/>
      <c r="Z19"/>
    </row>
    <row r="20" spans="1:38" x14ac:dyDescent="0.25">
      <c r="A20"/>
      <c r="G20"/>
      <c r="M20"/>
      <c r="T20"/>
      <c r="Z20"/>
    </row>
    <row r="21" spans="1:38" x14ac:dyDescent="0.25">
      <c r="A21"/>
      <c r="G21"/>
      <c r="M21"/>
      <c r="T21"/>
      <c r="Z21"/>
    </row>
    <row r="22" spans="1:38" x14ac:dyDescent="0.25">
      <c r="A22"/>
      <c r="G22"/>
      <c r="M22"/>
      <c r="T22"/>
      <c r="Z22"/>
    </row>
    <row r="23" spans="1:38" x14ac:dyDescent="0.25">
      <c r="A23"/>
      <c r="G23"/>
      <c r="M23"/>
      <c r="T23"/>
      <c r="Z23"/>
    </row>
    <row r="24" spans="1:38" x14ac:dyDescent="0.25">
      <c r="A24"/>
      <c r="G24"/>
      <c r="M24"/>
      <c r="T24"/>
      <c r="Z24"/>
    </row>
    <row r="25" spans="1:38" x14ac:dyDescent="0.25">
      <c r="M25"/>
      <c r="T25"/>
      <c r="Z25"/>
    </row>
    <row r="26" spans="1:38" x14ac:dyDescent="0.25">
      <c r="M26"/>
      <c r="T26"/>
      <c r="Z26"/>
    </row>
    <row r="27" spans="1:38" x14ac:dyDescent="0.25">
      <c r="M27"/>
      <c r="T27"/>
      <c r="Z27"/>
    </row>
    <row r="28" spans="1:38" x14ac:dyDescent="0.25">
      <c r="M28"/>
      <c r="T28"/>
      <c r="Z28"/>
    </row>
    <row r="29" spans="1:38" x14ac:dyDescent="0.25">
      <c r="M29"/>
      <c r="T29"/>
      <c r="Z29"/>
    </row>
    <row r="30" spans="1:38" x14ac:dyDescent="0.25">
      <c r="M30"/>
      <c r="T30"/>
      <c r="Z30"/>
    </row>
    <row r="31" spans="1:38" x14ac:dyDescent="0.25">
      <c r="M31"/>
      <c r="T31"/>
      <c r="Z31"/>
    </row>
    <row r="32" spans="1:38" x14ac:dyDescent="0.25">
      <c r="M32"/>
      <c r="T32"/>
      <c r="Z32"/>
    </row>
    <row r="33" spans="13:26" x14ac:dyDescent="0.25">
      <c r="M33"/>
      <c r="T33"/>
      <c r="Z33"/>
    </row>
    <row r="34" spans="13:26" x14ac:dyDescent="0.25"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Z34"/>
    </row>
    <row r="35" spans="13:26" x14ac:dyDescent="0.25"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Z35"/>
    </row>
    <row r="36" spans="13:26" x14ac:dyDescent="0.25"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Z36"/>
    </row>
    <row r="37" spans="13:26" x14ac:dyDescent="0.25"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Z37"/>
    </row>
    <row r="38" spans="13:26" x14ac:dyDescent="0.25"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Z38"/>
    </row>
    <row r="39" spans="13:26" x14ac:dyDescent="0.25"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Z39"/>
    </row>
    <row r="40" spans="13:26" x14ac:dyDescent="0.25"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Z40"/>
    </row>
    <row r="41" spans="13:26" x14ac:dyDescent="0.25"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Z41"/>
    </row>
    <row r="42" spans="13:26" x14ac:dyDescent="0.25"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Z42"/>
    </row>
    <row r="43" spans="13:26" x14ac:dyDescent="0.25"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Z43"/>
    </row>
    <row r="44" spans="13:26" x14ac:dyDescent="0.25"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Z44"/>
    </row>
    <row r="45" spans="13:26" x14ac:dyDescent="0.25">
      <c r="M45"/>
      <c r="T45"/>
      <c r="Z45"/>
    </row>
    <row r="46" spans="13:26" x14ac:dyDescent="0.25">
      <c r="M46"/>
      <c r="T46"/>
      <c r="Z46"/>
    </row>
    <row r="47" spans="13:26" x14ac:dyDescent="0.25">
      <c r="M47"/>
      <c r="T47"/>
      <c r="Z47"/>
    </row>
    <row r="48" spans="13:26" x14ac:dyDescent="0.25">
      <c r="M48"/>
      <c r="T48"/>
      <c r="Z48"/>
    </row>
    <row r="49" spans="13:50" x14ac:dyDescent="0.25">
      <c r="M49"/>
      <c r="T49"/>
      <c r="Z49"/>
    </row>
    <row r="50" spans="13:50" x14ac:dyDescent="0.25">
      <c r="M50"/>
      <c r="T50"/>
      <c r="Z50"/>
    </row>
    <row r="51" spans="13:50" x14ac:dyDescent="0.25">
      <c r="M51"/>
      <c r="T51"/>
      <c r="Z51"/>
    </row>
    <row r="52" spans="13:50" x14ac:dyDescent="0.25">
      <c r="M52"/>
      <c r="T52"/>
      <c r="Z52"/>
    </row>
    <row r="53" spans="13:50" x14ac:dyDescent="0.25">
      <c r="M53"/>
      <c r="T53"/>
      <c r="W53" s="218"/>
      <c r="Z53"/>
    </row>
    <row r="54" spans="13:50" x14ac:dyDescent="0.25">
      <c r="M54"/>
      <c r="T54"/>
      <c r="W54" s="218"/>
      <c r="Z54"/>
      <c r="AM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13:50" x14ac:dyDescent="0.25">
      <c r="M55"/>
      <c r="T55"/>
      <c r="W55" s="218"/>
      <c r="Z55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13:50" x14ac:dyDescent="0.25">
      <c r="M56"/>
      <c r="T56"/>
      <c r="W56" s="218"/>
      <c r="Z56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13:50" x14ac:dyDescent="0.25">
      <c r="M57"/>
      <c r="T57"/>
      <c r="W57" s="218"/>
      <c r="Y57" s="34"/>
      <c r="Z57" s="164"/>
      <c r="AA57" s="34"/>
      <c r="AB57" s="167"/>
      <c r="AC57" s="166"/>
      <c r="AD57" s="166"/>
      <c r="AE57" s="166"/>
      <c r="AF57" s="166"/>
      <c r="AG57" s="171"/>
      <c r="AH57" s="167"/>
      <c r="AI57" s="167"/>
      <c r="AJ57" s="167"/>
      <c r="AK57" s="171"/>
      <c r="AL57" s="171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13:50" x14ac:dyDescent="0.25">
      <c r="M58"/>
      <c r="T58"/>
      <c r="W58" s="218"/>
      <c r="Z58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13:50" x14ac:dyDescent="0.25">
      <c r="M59"/>
      <c r="T59"/>
      <c r="W59" s="218"/>
      <c r="Z59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13:50" x14ac:dyDescent="0.25">
      <c r="M60"/>
      <c r="T60"/>
      <c r="W60" s="218"/>
      <c r="Z60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</row>
    <row r="61" spans="13:50" x14ac:dyDescent="0.25">
      <c r="M61"/>
      <c r="T61"/>
      <c r="W61" s="218"/>
      <c r="Z61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</row>
    <row r="62" spans="13:50" x14ac:dyDescent="0.25">
      <c r="M62"/>
      <c r="T62"/>
      <c r="W62" s="218"/>
      <c r="Z6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</row>
    <row r="63" spans="13:50" x14ac:dyDescent="0.25">
      <c r="M63"/>
      <c r="T63"/>
      <c r="W63" s="218"/>
      <c r="Z63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</row>
    <row r="64" spans="13:50" x14ac:dyDescent="0.25">
      <c r="M64"/>
      <c r="T64"/>
      <c r="W64" s="218"/>
      <c r="Z6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</row>
    <row r="65" spans="13:50" x14ac:dyDescent="0.25">
      <c r="M65"/>
      <c r="T65"/>
      <c r="W65" s="218"/>
      <c r="Z65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</row>
    <row r="66" spans="13:50" x14ac:dyDescent="0.25">
      <c r="M66"/>
      <c r="T66"/>
      <c r="W66" s="218"/>
      <c r="Z66"/>
    </row>
    <row r="67" spans="13:50" x14ac:dyDescent="0.25">
      <c r="M67"/>
      <c r="T67"/>
      <c r="W67" s="218"/>
      <c r="Z67"/>
    </row>
    <row r="68" spans="13:50" x14ac:dyDescent="0.25">
      <c r="M68"/>
      <c r="T68"/>
      <c r="Z68"/>
    </row>
    <row r="69" spans="13:50" x14ac:dyDescent="0.25">
      <c r="M69"/>
      <c r="T69"/>
      <c r="Z69"/>
    </row>
    <row r="70" spans="13:50" x14ac:dyDescent="0.25">
      <c r="M70"/>
      <c r="T70"/>
      <c r="Z70"/>
    </row>
    <row r="71" spans="13:50" x14ac:dyDescent="0.25">
      <c r="M71"/>
      <c r="T71"/>
      <c r="Z71"/>
    </row>
    <row r="72" spans="13:50" x14ac:dyDescent="0.25">
      <c r="M72"/>
      <c r="T72"/>
      <c r="Z72"/>
    </row>
    <row r="73" spans="13:50" x14ac:dyDescent="0.25">
      <c r="M73"/>
      <c r="T73"/>
      <c r="Z73"/>
    </row>
    <row r="74" spans="13:50" x14ac:dyDescent="0.25">
      <c r="M74"/>
      <c r="T74"/>
      <c r="Z74"/>
    </row>
    <row r="75" spans="13:50" x14ac:dyDescent="0.25">
      <c r="M75"/>
      <c r="T75"/>
      <c r="Z75"/>
    </row>
    <row r="76" spans="13:50" x14ac:dyDescent="0.25">
      <c r="M76"/>
      <c r="T76"/>
      <c r="Z76"/>
    </row>
    <row r="77" spans="13:50" x14ac:dyDescent="0.25">
      <c r="M77"/>
      <c r="T77"/>
      <c r="Z77"/>
    </row>
    <row r="78" spans="13:50" x14ac:dyDescent="0.25">
      <c r="M78"/>
      <c r="T78"/>
      <c r="Z78"/>
    </row>
    <row r="79" spans="13:50" x14ac:dyDescent="0.25">
      <c r="M79"/>
      <c r="T79"/>
      <c r="Z79"/>
    </row>
    <row r="80" spans="13:50" x14ac:dyDescent="0.25">
      <c r="M80"/>
      <c r="T80"/>
      <c r="Z80"/>
    </row>
    <row r="81" spans="1:26" x14ac:dyDescent="0.25">
      <c r="M81"/>
      <c r="R81" s="218"/>
      <c r="T81"/>
      <c r="Z81"/>
    </row>
    <row r="82" spans="1:26" x14ac:dyDescent="0.25">
      <c r="M82"/>
      <c r="T82"/>
    </row>
    <row r="83" spans="1:26" x14ac:dyDescent="0.25">
      <c r="M83"/>
      <c r="T83"/>
    </row>
    <row r="84" spans="1:26" x14ac:dyDescent="0.25">
      <c r="M84"/>
      <c r="T84"/>
    </row>
    <row r="85" spans="1:26" x14ac:dyDescent="0.25">
      <c r="M85"/>
      <c r="T85"/>
    </row>
    <row r="86" spans="1:26" x14ac:dyDescent="0.25">
      <c r="M86"/>
      <c r="T86"/>
    </row>
    <row r="87" spans="1:26" x14ac:dyDescent="0.25">
      <c r="M87"/>
      <c r="T87"/>
    </row>
    <row r="88" spans="1:26" x14ac:dyDescent="0.25">
      <c r="M88"/>
      <c r="T88"/>
    </row>
    <row r="89" spans="1:26" x14ac:dyDescent="0.25">
      <c r="M89"/>
      <c r="T89"/>
    </row>
    <row r="90" spans="1:26" x14ac:dyDescent="0.25">
      <c r="M90"/>
      <c r="T90"/>
    </row>
    <row r="91" spans="1:26" x14ac:dyDescent="0.25">
      <c r="M91"/>
      <c r="T91"/>
    </row>
    <row r="92" spans="1:26" x14ac:dyDescent="0.25">
      <c r="M92"/>
      <c r="T92"/>
    </row>
    <row r="93" spans="1:26" x14ac:dyDescent="0.25">
      <c r="A93" s="266"/>
      <c r="B93" s="247"/>
      <c r="C93" s="247"/>
      <c r="D93" s="34"/>
      <c r="E93" s="34"/>
      <c r="F93" s="171"/>
      <c r="G93" s="270"/>
      <c r="H93" s="168"/>
      <c r="I93" s="166"/>
      <c r="J93" s="196"/>
      <c r="K93" s="196"/>
      <c r="L93" s="171"/>
      <c r="M93"/>
      <c r="T93"/>
    </row>
    <row r="94" spans="1:26" x14ac:dyDescent="0.25">
      <c r="A94" s="266"/>
      <c r="B94" s="247"/>
      <c r="C94" s="247"/>
      <c r="D94" s="34"/>
      <c r="E94" s="34"/>
      <c r="F94" s="171"/>
      <c r="G94" s="270"/>
      <c r="H94" s="168"/>
      <c r="I94" s="166"/>
      <c r="J94" s="196"/>
      <c r="K94" s="196"/>
      <c r="L94" s="171"/>
      <c r="M94"/>
      <c r="T94"/>
    </row>
    <row r="95" spans="1:26" x14ac:dyDescent="0.25">
      <c r="A95" s="266"/>
      <c r="B95" s="247"/>
      <c r="C95" s="247"/>
      <c r="D95" s="34"/>
      <c r="E95" s="34"/>
      <c r="F95" s="171"/>
      <c r="G95" s="270"/>
      <c r="H95" s="168"/>
      <c r="I95" s="166"/>
      <c r="J95" s="196"/>
      <c r="K95" s="196"/>
      <c r="L95" s="171"/>
      <c r="M95"/>
      <c r="T95"/>
    </row>
    <row r="96" spans="1:26" x14ac:dyDescent="0.25">
      <c r="A96" s="266"/>
      <c r="B96" s="247"/>
      <c r="C96" s="247"/>
      <c r="D96" s="248"/>
      <c r="E96" s="248"/>
      <c r="F96" s="171"/>
      <c r="G96" s="270"/>
      <c r="H96" s="168"/>
      <c r="I96" s="166"/>
      <c r="J96" s="196"/>
      <c r="K96" s="196"/>
      <c r="L96" s="171"/>
    </row>
    <row r="97" spans="1:12" x14ac:dyDescent="0.25">
      <c r="A97" s="266"/>
      <c r="B97" s="207"/>
      <c r="C97" s="247"/>
      <c r="D97" s="248"/>
      <c r="E97" s="248"/>
      <c r="F97" s="171"/>
      <c r="G97" s="270"/>
      <c r="H97" s="168"/>
      <c r="I97" s="166"/>
      <c r="J97" s="196"/>
      <c r="K97" s="196"/>
      <c r="L97" s="171"/>
    </row>
    <row r="98" spans="1:12" x14ac:dyDescent="0.25">
      <c r="A98" s="266"/>
      <c r="B98" s="207"/>
      <c r="C98" s="247"/>
      <c r="D98" s="171"/>
      <c r="E98" s="171"/>
      <c r="F98" s="171"/>
      <c r="G98" s="270"/>
      <c r="H98" s="168"/>
      <c r="I98" s="166"/>
      <c r="J98" s="196"/>
      <c r="K98" s="196"/>
      <c r="L98" s="171"/>
    </row>
    <row r="99" spans="1:12" x14ac:dyDescent="0.25">
      <c r="A99" s="266"/>
      <c r="B99" s="207"/>
      <c r="C99" s="247"/>
      <c r="D99" s="248"/>
      <c r="E99" s="248"/>
      <c r="F99" s="171"/>
      <c r="G99" s="270"/>
      <c r="H99" s="168"/>
      <c r="I99" s="166"/>
      <c r="J99" s="196"/>
      <c r="K99" s="196"/>
      <c r="L99" s="171"/>
    </row>
    <row r="100" spans="1:12" x14ac:dyDescent="0.25">
      <c r="A100" s="266"/>
      <c r="B100" s="207"/>
      <c r="C100" s="247"/>
      <c r="D100" s="249"/>
      <c r="E100" s="249"/>
      <c r="F100" s="171"/>
      <c r="G100" s="270"/>
      <c r="H100" s="168"/>
      <c r="I100" s="166"/>
      <c r="J100" s="196"/>
      <c r="K100" s="196"/>
      <c r="L100" s="171"/>
    </row>
    <row r="101" spans="1:12" x14ac:dyDescent="0.25">
      <c r="A101" s="266"/>
      <c r="B101" s="207"/>
      <c r="C101" s="247"/>
      <c r="D101" s="249"/>
      <c r="E101" s="249"/>
      <c r="F101" s="171"/>
      <c r="G101" s="270"/>
      <c r="H101" s="168"/>
      <c r="I101" s="166"/>
      <c r="J101" s="196"/>
      <c r="K101" s="196"/>
      <c r="L101" s="171"/>
    </row>
    <row r="102" spans="1:12" x14ac:dyDescent="0.25">
      <c r="A102" s="266"/>
      <c r="B102" s="207"/>
      <c r="C102" s="247"/>
      <c r="D102" s="249"/>
      <c r="E102" s="249"/>
      <c r="F102" s="171"/>
      <c r="G102" s="270"/>
      <c r="H102" s="168"/>
      <c r="I102" s="166"/>
      <c r="J102" s="196"/>
      <c r="K102" s="196"/>
      <c r="L102" s="171"/>
    </row>
    <row r="103" spans="1:12" x14ac:dyDescent="0.25">
      <c r="A103" s="266"/>
      <c r="B103" s="250"/>
      <c r="C103" s="247"/>
      <c r="D103" s="249"/>
      <c r="E103" s="249"/>
      <c r="F103" s="171"/>
      <c r="G103" s="270"/>
      <c r="H103" s="168"/>
      <c r="I103" s="166"/>
      <c r="J103" s="196"/>
      <c r="K103" s="196"/>
      <c r="L103" s="171"/>
    </row>
    <row r="104" spans="1:12" x14ac:dyDescent="0.25">
      <c r="A104" s="266"/>
      <c r="B104" s="250"/>
      <c r="C104" s="247"/>
      <c r="D104" s="249"/>
      <c r="E104" s="249"/>
      <c r="F104" s="171"/>
      <c r="G104" s="270"/>
      <c r="H104" s="168"/>
      <c r="I104" s="166"/>
      <c r="J104" s="196"/>
      <c r="K104" s="196"/>
      <c r="L104" s="171"/>
    </row>
    <row r="105" spans="1:12" x14ac:dyDescent="0.25">
      <c r="A105" s="266"/>
      <c r="B105" s="250"/>
      <c r="C105" s="247"/>
      <c r="D105" s="249"/>
      <c r="E105" s="249"/>
      <c r="F105" s="171"/>
      <c r="G105" s="270"/>
      <c r="H105" s="168"/>
      <c r="I105" s="166"/>
      <c r="J105" s="196"/>
      <c r="K105" s="196"/>
      <c r="L105" s="171"/>
    </row>
    <row r="106" spans="1:12" x14ac:dyDescent="0.25">
      <c r="A106" s="266"/>
      <c r="B106" s="250"/>
      <c r="C106" s="247"/>
      <c r="D106" s="249"/>
      <c r="E106" s="249"/>
      <c r="F106" s="171"/>
      <c r="G106" s="270"/>
      <c r="H106" s="168"/>
      <c r="I106" s="166"/>
      <c r="J106" s="196"/>
      <c r="K106" s="196"/>
      <c r="L106" s="171"/>
    </row>
  </sheetData>
  <sheetProtection sheet="1" objects="1" scenarios="1"/>
  <dataConsolidate/>
  <mergeCells count="4">
    <mergeCell ref="A1:I2"/>
    <mergeCell ref="M1:X2"/>
    <mergeCell ref="Y1:AL2"/>
    <mergeCell ref="AM1:AX2"/>
  </mergeCells>
  <dataValidations count="7">
    <dataValidation type="list" allowBlank="1" showInputMessage="1" showErrorMessage="1" sqref="AD3:AD4">
      <formula1>"N/A"</formula1>
    </dataValidation>
    <dataValidation type="list" allowBlank="1" showInputMessage="1" showErrorMessage="1" sqref="AE57:AF57 I93:I105 H93:H106 AE3 U3:V3 I3 I5:J10">
      <formula1>"UNTESTED,FAIL,PASS"</formula1>
    </dataValidation>
    <dataValidation type="list" allowBlank="1" showInputMessage="1" showErrorMessage="1" sqref="AB57 AB54 AB62">
      <formula1>"PCB-DX3-002"</formula1>
    </dataValidation>
    <dataValidation type="list" operator="equal" allowBlank="1" showInputMessage="1" showErrorMessage="1" sqref="AP69 AE4:AF4 AF3">
      <formula1>"UNTESTED,FAIL"</formula1>
    </dataValidation>
    <dataValidation type="list" allowBlank="1" showInputMessage="1" showErrorMessage="1" sqref="AE54:AE55 K3:K10">
      <formula1>"PCB-A-002,PCB-A-004,PCB-A-006"</formula1>
    </dataValidation>
    <dataValidation type="date" operator="greaterThan" allowBlank="1" showInputMessage="1" showErrorMessage="1" sqref="G126:G137 G93:G106">
      <formula1>36526</formula1>
    </dataValidation>
    <dataValidation type="list" allowBlank="1" showInputMessage="1" showErrorMessage="1" sqref="I106 J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10" t="s">
        <v>1610</v>
      </c>
      <c r="B1" s="311"/>
      <c r="C1" s="311"/>
      <c r="D1" s="311"/>
      <c r="E1" s="311"/>
      <c r="F1" s="311"/>
      <c r="G1" s="311"/>
      <c r="H1" s="312"/>
      <c r="I1" s="316" t="s">
        <v>1619</v>
      </c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7" t="s">
        <v>1632</v>
      </c>
      <c r="AK1" s="318"/>
      <c r="AL1" s="318"/>
      <c r="AM1" s="319"/>
      <c r="AN1" s="319"/>
      <c r="AO1" s="319"/>
      <c r="AP1" s="319"/>
      <c r="AQ1" s="320"/>
      <c r="AR1" s="324" t="s">
        <v>1634</v>
      </c>
      <c r="AS1" s="325"/>
      <c r="AT1" s="325"/>
      <c r="AU1" s="325"/>
      <c r="AV1" s="325"/>
      <c r="AW1" s="325"/>
      <c r="AX1" s="325"/>
      <c r="AY1" s="325"/>
      <c r="AZ1" s="325"/>
      <c r="BA1" s="325"/>
      <c r="BB1" s="326"/>
      <c r="BC1" s="300" t="s">
        <v>1612</v>
      </c>
      <c r="BD1" s="300"/>
      <c r="BE1" s="300"/>
    </row>
    <row r="2" spans="1:57" ht="25.5" customHeight="1" x14ac:dyDescent="0.25">
      <c r="A2" s="313"/>
      <c r="B2" s="314"/>
      <c r="C2" s="314"/>
      <c r="D2" s="314"/>
      <c r="E2" s="314"/>
      <c r="F2" s="314"/>
      <c r="G2" s="314"/>
      <c r="H2" s="315"/>
      <c r="I2" s="304" t="s">
        <v>1617</v>
      </c>
      <c r="J2" s="305"/>
      <c r="K2" s="305"/>
      <c r="L2" s="305"/>
      <c r="M2" s="305"/>
      <c r="N2" s="305"/>
      <c r="O2" s="306"/>
      <c r="P2" s="307" t="s">
        <v>1616</v>
      </c>
      <c r="Q2" s="308"/>
      <c r="R2" s="308"/>
      <c r="S2" s="308"/>
      <c r="T2" s="308"/>
      <c r="U2" s="308"/>
      <c r="V2" s="309"/>
      <c r="W2" s="301" t="s">
        <v>1635</v>
      </c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3"/>
      <c r="AJ2" s="321"/>
      <c r="AK2" s="322"/>
      <c r="AL2" s="322"/>
      <c r="AM2" s="322"/>
      <c r="AN2" s="322"/>
      <c r="AO2" s="322"/>
      <c r="AP2" s="322"/>
      <c r="AQ2" s="323"/>
      <c r="AR2" s="327"/>
      <c r="AS2" s="328"/>
      <c r="AT2" s="328"/>
      <c r="AU2" s="328"/>
      <c r="AV2" s="328"/>
      <c r="AW2" s="328"/>
      <c r="AX2" s="328"/>
      <c r="AY2" s="328"/>
      <c r="AZ2" s="328"/>
      <c r="BA2" s="328"/>
      <c r="BB2" s="329"/>
      <c r="BC2" s="300"/>
      <c r="BD2" s="300"/>
      <c r="BE2" s="300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1708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1709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1710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10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">
      <formula1>$D$12:$D$14</formula1>
    </dataValidation>
    <dataValidation type="list" allowBlank="1" showInputMessage="1" showErrorMessage="1" sqref="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Automation!$D$12:$D$14</xm:f>
          </x14:formula1>
          <xm:sqref>AI33:AI39</xm:sqref>
        </x14:dataValidation>
        <x14:dataValidation type="list" allowBlank="1" showInputMessage="1" showErrorMessage="1">
          <x14:formula1>
            <xm:f>Automation!$F$12:$F$17</xm:f>
          </x14:formula1>
          <xm:sqref>AT4</xm:sqref>
        </x14:dataValidation>
        <x14:dataValidation type="list" allowBlank="1" showInputMessage="1" showErrorMessage="1">
          <x14:formula1>
            <xm:f>Automation!$H$12:$H$17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92"/>
  <sheetViews>
    <sheetView tabSelected="1" zoomScaleNormal="100" workbookViewId="0">
      <selection activeCell="A5" sqref="A5"/>
    </sheetView>
  </sheetViews>
  <sheetFormatPr defaultRowHeight="12.5" x14ac:dyDescent="0.25"/>
  <cols>
    <col min="1" max="1" width="15.6328125" style="218" customWidth="1"/>
    <col min="2" max="2" width="19.453125" style="218" customWidth="1"/>
    <col min="3" max="4" width="15.6328125" style="218" customWidth="1"/>
    <col min="5" max="5" width="18.81640625" style="218" customWidth="1"/>
    <col min="6" max="9" width="15.6328125" style="218" customWidth="1"/>
    <col min="10" max="10" width="18.81640625" style="218" customWidth="1"/>
    <col min="11" max="24" width="15.6328125" style="218" hidden="1" customWidth="1"/>
    <col min="25" max="27" width="15.6328125" style="218" customWidth="1"/>
    <col min="28" max="28" width="17.453125" style="218" customWidth="1"/>
    <col min="29" max="49" width="15.6328125" style="218" customWidth="1"/>
    <col min="50" max="16384" width="8.7265625" style="218"/>
  </cols>
  <sheetData>
    <row r="1" spans="1:49" ht="13" x14ac:dyDescent="0.25">
      <c r="A1" s="330" t="s">
        <v>1685</v>
      </c>
      <c r="B1" s="330"/>
      <c r="C1" s="330"/>
      <c r="D1" s="330"/>
      <c r="E1" s="330"/>
      <c r="F1" s="330"/>
      <c r="G1" s="330"/>
      <c r="H1" s="330"/>
      <c r="I1" s="330"/>
      <c r="J1" s="330"/>
      <c r="K1" s="282"/>
      <c r="L1" s="331" t="s">
        <v>1696</v>
      </c>
      <c r="M1" s="331"/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1715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3" t="s">
        <v>1702</v>
      </c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ht="13" x14ac:dyDescent="0.25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282"/>
      <c r="L2" s="331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3" customHeight="1" x14ac:dyDescent="0.25">
      <c r="A3" s="274" t="s">
        <v>692</v>
      </c>
      <c r="B3" s="274" t="s">
        <v>1714</v>
      </c>
      <c r="C3" s="275" t="s">
        <v>1835</v>
      </c>
      <c r="D3" s="275" t="s">
        <v>1836</v>
      </c>
      <c r="E3" s="274" t="s">
        <v>2</v>
      </c>
      <c r="F3" s="274" t="s">
        <v>1637</v>
      </c>
      <c r="G3" s="274" t="s">
        <v>1613</v>
      </c>
      <c r="H3" s="275" t="s">
        <v>1686</v>
      </c>
      <c r="I3" s="275" t="s">
        <v>1687</v>
      </c>
      <c r="J3" s="275" t="s">
        <v>1645</v>
      </c>
      <c r="K3" s="275"/>
      <c r="L3" s="276" t="s">
        <v>692</v>
      </c>
      <c r="M3" s="277" t="s">
        <v>693</v>
      </c>
      <c r="N3" s="276" t="s">
        <v>1688</v>
      </c>
      <c r="O3" s="276" t="s">
        <v>1659</v>
      </c>
      <c r="P3" s="276" t="s">
        <v>1637</v>
      </c>
      <c r="Q3" s="277" t="s">
        <v>1613</v>
      </c>
      <c r="R3" s="278" t="s">
        <v>1689</v>
      </c>
      <c r="S3" s="278" t="s">
        <v>1690</v>
      </c>
      <c r="T3" s="278" t="s">
        <v>1691</v>
      </c>
      <c r="U3" s="278" t="s">
        <v>1692</v>
      </c>
      <c r="V3" s="278" t="s">
        <v>1693</v>
      </c>
      <c r="W3" s="278" t="s">
        <v>1694</v>
      </c>
      <c r="X3" s="278" t="s">
        <v>1695</v>
      </c>
      <c r="Y3" s="279" t="s">
        <v>1664</v>
      </c>
      <c r="Z3" s="224" t="s">
        <v>1703</v>
      </c>
      <c r="AA3" s="279" t="s">
        <v>1659</v>
      </c>
      <c r="AB3" s="279" t="s">
        <v>1697</v>
      </c>
      <c r="AC3" s="279" t="s">
        <v>1698</v>
      </c>
      <c r="AD3" s="224" t="s">
        <v>1689</v>
      </c>
      <c r="AE3" s="224" t="s">
        <v>1637</v>
      </c>
      <c r="AF3" s="224" t="s">
        <v>1705</v>
      </c>
      <c r="AG3" s="224" t="s">
        <v>1691</v>
      </c>
      <c r="AH3" s="224" t="s">
        <v>1692</v>
      </c>
      <c r="AI3" s="224" t="s">
        <v>1693</v>
      </c>
      <c r="AJ3" s="224" t="s">
        <v>1694</v>
      </c>
      <c r="AK3" s="224" t="s">
        <v>1695</v>
      </c>
      <c r="AL3" s="237" t="s">
        <v>1713</v>
      </c>
      <c r="AM3" s="237" t="s">
        <v>1704</v>
      </c>
      <c r="AN3" s="238" t="s">
        <v>1659</v>
      </c>
      <c r="AO3" s="238" t="s">
        <v>1699</v>
      </c>
      <c r="AP3" s="238" t="s">
        <v>1700</v>
      </c>
      <c r="AQ3" s="238" t="s">
        <v>1701</v>
      </c>
      <c r="AR3" s="238" t="s">
        <v>1622</v>
      </c>
      <c r="AS3" s="239" t="s">
        <v>5</v>
      </c>
      <c r="AT3" s="239" t="s">
        <v>1615</v>
      </c>
      <c r="AU3" s="239" t="s">
        <v>194</v>
      </c>
      <c r="AV3" s="239" t="s">
        <v>195</v>
      </c>
      <c r="AW3" s="237" t="s">
        <v>6</v>
      </c>
    </row>
    <row r="4" spans="1:49" x14ac:dyDescent="0.25">
      <c r="A4" s="185"/>
      <c r="B4" s="185"/>
      <c r="C4" s="185"/>
      <c r="D4" s="185"/>
      <c r="E4" s="185"/>
      <c r="F4" s="185">
        <f>IF(COUNTIFS(VAP01_Assembly[VAP100B SN],VAP100B[[#This Row],[Sub-contractor Serial Number]])=1,IF(AND(VAP100B[[#This Row],[QAI0010]]="PASS",VAP100B[[#This Row],[TP0041]]="PASS"),1,0),0)</f>
        <v>0</v>
      </c>
      <c r="G4" s="183"/>
      <c r="H4" s="183"/>
      <c r="I4" s="183"/>
      <c r="J4" s="185" t="str">
        <f>IF(AND(VAP100B[[#This Row],[QAI0010]]="PASS",VAP100B[[#This Row],[TP0041]]="PASS",VAP100B[[#This Row],[Assigned]]=0),VAP100B[[#This Row],[Sub-contractor Serial Number]],"")</f>
        <v/>
      </c>
      <c r="K4" s="185"/>
      <c r="Y4" s="185"/>
      <c r="Z4" s="185"/>
      <c r="AA4" s="185"/>
      <c r="AB4" s="183"/>
      <c r="AC4" s="183"/>
      <c r="AD4" s="183"/>
      <c r="AE4" s="185">
        <f>IF(AND(COUNTIF(VAP01_Destination[VAP01 ID], VAP01_Assembly[[#This Row],[ID]])=1,VAP01_Assembly[[#This Row],[TP0016]]="PASS",VAP01_Assembly[[#This Row],[QAI0011]]="PASS"),1,0)</f>
        <v>0</v>
      </c>
      <c r="AF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34">
        <v>0</v>
      </c>
      <c r="AM4" s="234"/>
      <c r="AN4" s="235"/>
      <c r="AO4" s="235"/>
      <c r="AP4" s="235"/>
      <c r="AQ4" s="235"/>
      <c r="AR4" s="235"/>
      <c r="AS4" s="255"/>
      <c r="AT4" s="236"/>
      <c r="AU4" s="236"/>
      <c r="AV4" s="236"/>
      <c r="AW4" s="236"/>
    </row>
    <row r="5" spans="1:49" x14ac:dyDescent="0.25">
      <c r="A5" s="280">
        <v>43818</v>
      </c>
      <c r="B5" s="200">
        <v>109281</v>
      </c>
      <c r="C5" s="200"/>
      <c r="D5" s="200"/>
      <c r="E5" s="200" t="s">
        <v>1819</v>
      </c>
      <c r="F5" s="200">
        <f>IF(COUNTIFS(VAP01_Assembly[VAP100B SN],VAP100B[[#This Row],[Sub-contractor Serial Number]])=1,IF(AND(VAP100B[[#This Row],[QAI0010]]="PASS",VAP100B[[#This Row],[TP0041]]="PASS"),1,0),0)</f>
        <v>0</v>
      </c>
      <c r="G5" s="261">
        <v>44124</v>
      </c>
      <c r="H5" s="200" t="s">
        <v>1641</v>
      </c>
      <c r="I5" s="200" t="s">
        <v>1641</v>
      </c>
      <c r="J5" s="213" t="str">
        <f>IF(AND(VAP100B[[#This Row],[QAI0010]]="PASS",VAP100B[[#This Row],[TP0041]]="PASS",VAP100B[[#This Row],[Assigned]]=0),VAP100B[[#This Row],[Sub-contractor Serial Number]],"")</f>
        <v>QZ/834104/1119/AB</v>
      </c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49" x14ac:dyDescent="0.25">
      <c r="A6" s="283">
        <v>36892</v>
      </c>
      <c r="B6" s="185">
        <v>123</v>
      </c>
      <c r="C6" s="185"/>
      <c r="D6" s="185"/>
      <c r="E6" s="185"/>
      <c r="F6" s="185">
        <f>IF(COUNTIFS(VAP01_Assembly[VAP100B SN],VAP100B[[#This Row],[Sub-contractor Serial Number]])=1,IF(AND(VAP100B[[#This Row],[QAI0010]]="PASS",VAP100B[[#This Row],[TP0041]]="PASS"),1,0),0)</f>
        <v>0</v>
      </c>
      <c r="G6" s="182"/>
      <c r="H6" s="183"/>
      <c r="I6" s="183"/>
      <c r="J6" s="246" t="str">
        <f>IF(AND(VAP100B[[#This Row],[QAI0010]]="PASS",VAP100B[[#This Row],[TP0041]]="PASS",VAP100B[[#This Row],[Assigned]]=0),VAP100B[[#This Row],[Sub-contractor Serial Number]],"")</f>
        <v/>
      </c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49" x14ac:dyDescent="0.25">
      <c r="A7" s="283">
        <v>36892</v>
      </c>
      <c r="B7" s="185">
        <v>123</v>
      </c>
      <c r="C7" s="185">
        <v>123</v>
      </c>
      <c r="D7" s="185"/>
      <c r="E7" s="185">
        <v>1112</v>
      </c>
      <c r="F7" s="185">
        <f>IF(COUNTIFS(VAP01_Assembly[VAP100B SN],VAP100B[[#This Row],[Sub-contractor Serial Number]])=1,IF(AND(VAP100B[[#This Row],[QAI0010]]="PASS",VAP100B[[#This Row],[TP0041]]="PASS"),1,0),0)</f>
        <v>0</v>
      </c>
      <c r="G7" s="182"/>
      <c r="H7" s="183" t="s">
        <v>1644</v>
      </c>
      <c r="I7" s="183" t="s">
        <v>1644</v>
      </c>
      <c r="J7" s="246" t="str">
        <f>IF(AND(VAP100B[[#This Row],[QAI0010]]="PASS",VAP100B[[#This Row],[TP0041]]="PASS",VAP100B[[#This Row],[Assigned]]=0),VAP100B[[#This Row],[Sub-contractor Serial Number]],"")</f>
        <v/>
      </c>
      <c r="Y7"/>
      <c r="Z7"/>
      <c r="AA7"/>
      <c r="AB7"/>
      <c r="AC7"/>
      <c r="AD7"/>
      <c r="AE7"/>
      <c r="AF7"/>
      <c r="AG7"/>
      <c r="AH7"/>
      <c r="AI7"/>
      <c r="AJ7"/>
      <c r="AK7"/>
    </row>
    <row r="8" spans="1:49" x14ac:dyDescent="0.25">
      <c r="A8" s="283">
        <v>36892</v>
      </c>
      <c r="B8" s="185">
        <v>123</v>
      </c>
      <c r="C8" s="185">
        <v>123</v>
      </c>
      <c r="D8" s="185"/>
      <c r="E8" s="185">
        <v>2223</v>
      </c>
      <c r="F8" s="185">
        <f>IF(COUNTIFS(VAP01_Assembly[VAP100B SN],VAP100B[[#This Row],[Sub-contractor Serial Number]])=1,IF(AND(VAP100B[[#This Row],[QAI0010]]="PASS",VAP100B[[#This Row],[TP0041]]="PASS"),1,0),0)</f>
        <v>0</v>
      </c>
      <c r="G8" s="182"/>
      <c r="H8" s="183" t="s">
        <v>1644</v>
      </c>
      <c r="I8" s="183" t="s">
        <v>1644</v>
      </c>
      <c r="J8" s="246" t="str">
        <f>IF(AND(VAP100B[[#This Row],[QAI0010]]="PASS",VAP100B[[#This Row],[TP0041]]="PASS",VAP100B[[#This Row],[Assigned]]=0),VAP100B[[#This Row],[Sub-contractor Serial Number]],"")</f>
        <v/>
      </c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49" x14ac:dyDescent="0.25">
      <c r="A9" s="283">
        <v>36892</v>
      </c>
      <c r="B9" s="185">
        <v>123</v>
      </c>
      <c r="C9" s="185">
        <v>123</v>
      </c>
      <c r="D9" s="185"/>
      <c r="E9" s="185"/>
      <c r="F9" s="185">
        <f>IF(COUNTIFS(VAP01_Assembly[VAP100B SN],VAP100B[[#This Row],[Sub-contractor Serial Number]])=1,IF(AND(VAP100B[[#This Row],[QAI0010]]="PASS",VAP100B[[#This Row],[TP0041]]="PASS"),1,0),0)</f>
        <v>0</v>
      </c>
      <c r="G9" s="182"/>
      <c r="H9" s="183"/>
      <c r="I9" s="183"/>
      <c r="J9" s="246" t="str">
        <f>IF(AND(VAP100B[[#This Row],[QAI0010]]="PASS",VAP100B[[#This Row],[TP0041]]="PASS",VAP100B[[#This Row],[Assigned]]=0),VAP100B[[#This Row],[Sub-contractor Serial Number]],"")</f>
        <v/>
      </c>
      <c r="Y9"/>
      <c r="Z9"/>
      <c r="AA9"/>
      <c r="AB9"/>
      <c r="AC9"/>
      <c r="AD9"/>
      <c r="AE9"/>
      <c r="AF9"/>
      <c r="AG9"/>
      <c r="AH9"/>
      <c r="AI9"/>
      <c r="AJ9"/>
      <c r="AK9"/>
    </row>
    <row r="10" spans="1:49" x14ac:dyDescent="0.25">
      <c r="A10"/>
      <c r="B10"/>
      <c r="C10"/>
      <c r="D10"/>
      <c r="E10"/>
      <c r="F10"/>
      <c r="G10"/>
      <c r="H10"/>
      <c r="I10"/>
      <c r="J10"/>
      <c r="Y10"/>
      <c r="Z10"/>
      <c r="AA10"/>
      <c r="AB10"/>
      <c r="AC10"/>
      <c r="AD10"/>
      <c r="AE10"/>
      <c r="AF10"/>
      <c r="AG10"/>
      <c r="AH10"/>
      <c r="AI10"/>
      <c r="AJ10"/>
      <c r="AK10"/>
    </row>
    <row r="11" spans="1:49" x14ac:dyDescent="0.25">
      <c r="A11"/>
      <c r="B11"/>
      <c r="C11"/>
      <c r="D11"/>
      <c r="E11"/>
      <c r="F11"/>
      <c r="G11"/>
      <c r="H11"/>
      <c r="I11"/>
      <c r="J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49" x14ac:dyDescent="0.25">
      <c r="A12"/>
      <c r="B12"/>
      <c r="C12"/>
      <c r="D12"/>
      <c r="E12"/>
      <c r="F12"/>
      <c r="G12"/>
      <c r="H12"/>
      <c r="I12"/>
      <c r="J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49" x14ac:dyDescent="0.25">
      <c r="A13"/>
      <c r="B13"/>
      <c r="C13"/>
      <c r="D13"/>
      <c r="E13"/>
      <c r="F13"/>
      <c r="G13"/>
      <c r="H13"/>
      <c r="I13"/>
      <c r="J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49" x14ac:dyDescent="0.25">
      <c r="A14"/>
      <c r="B14"/>
      <c r="C14"/>
      <c r="D14"/>
      <c r="E14"/>
      <c r="F14"/>
      <c r="G14"/>
      <c r="H14"/>
      <c r="I14"/>
      <c r="J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49" x14ac:dyDescent="0.25">
      <c r="A15"/>
      <c r="B15"/>
      <c r="C15"/>
      <c r="D15"/>
      <c r="E15"/>
      <c r="F15"/>
      <c r="G15"/>
      <c r="H15"/>
      <c r="I15"/>
      <c r="J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49" x14ac:dyDescent="0.25">
      <c r="A16"/>
      <c r="B16"/>
      <c r="C16"/>
      <c r="D16"/>
      <c r="E16"/>
      <c r="F16"/>
      <c r="G16"/>
      <c r="H16"/>
      <c r="I16"/>
      <c r="J16"/>
    </row>
    <row r="17" spans="1:10" x14ac:dyDescent="0.25">
      <c r="A17"/>
      <c r="B17"/>
      <c r="C17"/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x14ac:dyDescent="0.25">
      <c r="A21"/>
      <c r="B21"/>
      <c r="C21"/>
      <c r="D21"/>
      <c r="E21"/>
      <c r="F21"/>
      <c r="G21"/>
      <c r="H21"/>
      <c r="I21"/>
      <c r="J21"/>
    </row>
    <row r="22" spans="1:10" x14ac:dyDescent="0.25">
      <c r="A22"/>
      <c r="B22"/>
      <c r="C22"/>
      <c r="D22"/>
      <c r="E22"/>
      <c r="F22"/>
      <c r="G22"/>
      <c r="H22"/>
      <c r="I22"/>
      <c r="J22"/>
    </row>
    <row r="23" spans="1:10" x14ac:dyDescent="0.25">
      <c r="A23"/>
      <c r="B23"/>
      <c r="C23"/>
      <c r="D23"/>
      <c r="E23"/>
      <c r="F23"/>
      <c r="G23"/>
      <c r="H23"/>
      <c r="I23"/>
      <c r="J23"/>
    </row>
    <row r="24" spans="1:10" x14ac:dyDescent="0.25">
      <c r="A24"/>
      <c r="B24"/>
      <c r="C24"/>
      <c r="D24"/>
      <c r="E24"/>
      <c r="F24"/>
      <c r="G24"/>
      <c r="H24"/>
      <c r="I24"/>
      <c r="J24"/>
    </row>
    <row r="25" spans="1:10" x14ac:dyDescent="0.25">
      <c r="A25"/>
      <c r="B25"/>
      <c r="C25"/>
      <c r="D25"/>
      <c r="E25"/>
      <c r="F25"/>
      <c r="G25"/>
      <c r="H25"/>
      <c r="I25"/>
      <c r="J25"/>
    </row>
    <row r="26" spans="1:10" x14ac:dyDescent="0.25">
      <c r="A26"/>
      <c r="B26"/>
      <c r="C26"/>
      <c r="D26"/>
      <c r="E26"/>
      <c r="F26"/>
      <c r="G26"/>
      <c r="H26"/>
      <c r="I26"/>
      <c r="J26"/>
    </row>
    <row r="27" spans="1:10" x14ac:dyDescent="0.25">
      <c r="A27"/>
      <c r="B27"/>
      <c r="C27"/>
      <c r="D27"/>
      <c r="E27"/>
      <c r="F27"/>
      <c r="G27"/>
      <c r="H27"/>
      <c r="I27"/>
      <c r="J27"/>
    </row>
    <row r="28" spans="1:10" x14ac:dyDescent="0.25">
      <c r="A28"/>
      <c r="B28"/>
      <c r="C28"/>
      <c r="D28"/>
      <c r="E28"/>
      <c r="F28"/>
      <c r="G28"/>
      <c r="H28"/>
      <c r="I28"/>
      <c r="J28"/>
    </row>
    <row r="29" spans="1:10" x14ac:dyDescent="0.25">
      <c r="A29"/>
      <c r="B29"/>
      <c r="C29"/>
      <c r="D29"/>
      <c r="E29"/>
      <c r="F29"/>
      <c r="G29"/>
      <c r="H29"/>
      <c r="I29"/>
      <c r="J29"/>
    </row>
    <row r="30" spans="1:10" x14ac:dyDescent="0.25">
      <c r="A30"/>
      <c r="B30"/>
      <c r="C30"/>
      <c r="D30"/>
      <c r="E30"/>
      <c r="F30"/>
      <c r="G30"/>
      <c r="H30"/>
      <c r="I30"/>
      <c r="J30"/>
    </row>
    <row r="31" spans="1:10" x14ac:dyDescent="0.25">
      <c r="A31"/>
      <c r="B31"/>
      <c r="C31"/>
      <c r="D31"/>
      <c r="E31"/>
      <c r="F31"/>
      <c r="G31"/>
      <c r="H31"/>
      <c r="I31"/>
      <c r="J31"/>
    </row>
    <row r="32" spans="1:10" x14ac:dyDescent="0.25">
      <c r="A32"/>
      <c r="B32"/>
      <c r="C32"/>
      <c r="D32"/>
      <c r="E32"/>
      <c r="F32"/>
      <c r="G32"/>
      <c r="H32"/>
      <c r="I32"/>
      <c r="J32"/>
    </row>
    <row r="88" spans="1:10" x14ac:dyDescent="0.25">
      <c r="A88" s="281"/>
      <c r="B88" s="281"/>
      <c r="C88" s="281"/>
      <c r="D88" s="281"/>
      <c r="E88" s="170"/>
      <c r="F88" s="170"/>
      <c r="G88" s="170"/>
      <c r="H88" s="170"/>
      <c r="I88" s="170"/>
      <c r="J88" s="196"/>
    </row>
    <row r="89" spans="1:10" x14ac:dyDescent="0.25">
      <c r="A89" s="170"/>
      <c r="B89" s="170"/>
      <c r="C89" s="170"/>
      <c r="D89" s="170"/>
      <c r="E89" s="170"/>
      <c r="F89" s="170"/>
      <c r="G89" s="170"/>
      <c r="H89" s="170"/>
      <c r="I89" s="170"/>
      <c r="J89" s="170"/>
    </row>
    <row r="90" spans="1:10" x14ac:dyDescent="0.25">
      <c r="A90" s="170"/>
      <c r="B90" s="170"/>
      <c r="C90" s="170"/>
      <c r="D90" s="170"/>
      <c r="E90" s="170"/>
      <c r="F90" s="170"/>
      <c r="G90" s="170"/>
      <c r="H90" s="170"/>
      <c r="I90" s="170"/>
      <c r="J90" s="170"/>
    </row>
    <row r="91" spans="1:10" x14ac:dyDescent="0.25">
      <c r="A91" s="170"/>
      <c r="B91" s="170"/>
      <c r="C91" s="170"/>
      <c r="D91" s="170"/>
      <c r="E91" s="170"/>
      <c r="F91" s="170"/>
      <c r="G91" s="170"/>
      <c r="H91" s="170"/>
      <c r="I91" s="170"/>
      <c r="J91" s="170"/>
    </row>
    <row r="92" spans="1:10" x14ac:dyDescent="0.25">
      <c r="A92" s="170"/>
      <c r="B92" s="170"/>
      <c r="C92" s="170"/>
      <c r="D92" s="170"/>
      <c r="E92" s="170"/>
      <c r="F92" s="170"/>
      <c r="G92" s="170"/>
      <c r="H92" s="170"/>
      <c r="I92" s="170"/>
      <c r="J92" s="170"/>
    </row>
  </sheetData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33:F1048576 G33 G35:G1048576 H33:J1048576 AL1:XFD1048576 K1:X1048576 Y1:AK4 Y16:AK1048576 A1:J9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8"/>
  <sheetViews>
    <sheetView zoomScale="85" zoomScaleNormal="85" workbookViewId="0">
      <selection activeCell="D5" sqref="D5"/>
    </sheetView>
  </sheetViews>
  <sheetFormatPr defaultRowHeight="12.5" x14ac:dyDescent="0.25"/>
  <cols>
    <col min="2" max="2" width="10.453125" bestFit="1" customWidth="1"/>
    <col min="3" max="3" width="11.1796875" bestFit="1" customWidth="1"/>
    <col min="4" max="4" width="199.81640625" bestFit="1" customWidth="1"/>
    <col min="5" max="8" width="0" hidden="1" customWidth="1"/>
    <col min="9" max="9" width="8.81640625" hidden="1" customWidth="1"/>
    <col min="10" max="10" width="77.453125" bestFit="1" customWidth="1"/>
    <col min="11" max="11" width="11.54296875" style="230" customWidth="1"/>
    <col min="12" max="12" width="13.5429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1832</v>
      </c>
    </row>
    <row r="4" spans="3:8" x14ac:dyDescent="0.25">
      <c r="C4" s="144" t="s">
        <v>1683</v>
      </c>
      <c r="D4" s="144" t="s">
        <v>1833</v>
      </c>
    </row>
    <row r="5" spans="3:8" x14ac:dyDescent="0.25">
      <c r="C5" s="144" t="s">
        <v>1684</v>
      </c>
      <c r="D5" s="144" t="s">
        <v>1834</v>
      </c>
    </row>
    <row r="6" spans="3:8" x14ac:dyDescent="0.25">
      <c r="C6" s="144"/>
      <c r="D6" s="144"/>
    </row>
    <row r="7" spans="3:8" x14ac:dyDescent="0.25">
      <c r="C7" s="144"/>
      <c r="D7" s="144"/>
    </row>
    <row r="11" spans="3:8" x14ac:dyDescent="0.25">
      <c r="D11" t="s">
        <v>1643</v>
      </c>
      <c r="F11" s="119" t="s">
        <v>11</v>
      </c>
      <c r="H11" s="119" t="s">
        <v>9</v>
      </c>
    </row>
    <row r="12" spans="3:8" x14ac:dyDescent="0.25">
      <c r="D12" s="121" t="s">
        <v>1641</v>
      </c>
      <c r="F12">
        <v>100</v>
      </c>
      <c r="H12" s="119" t="s">
        <v>1646</v>
      </c>
    </row>
    <row r="13" spans="3:8" x14ac:dyDescent="0.25">
      <c r="D13" s="137" t="s">
        <v>1642</v>
      </c>
      <c r="F13">
        <v>110</v>
      </c>
      <c r="H13" s="119" t="s">
        <v>1647</v>
      </c>
    </row>
    <row r="14" spans="3:8" x14ac:dyDescent="0.25">
      <c r="D14" s="223" t="s">
        <v>1765</v>
      </c>
      <c r="F14">
        <v>120</v>
      </c>
      <c r="H14" s="119" t="s">
        <v>1648</v>
      </c>
    </row>
    <row r="15" spans="3:8" x14ac:dyDescent="0.25">
      <c r="F15">
        <v>230</v>
      </c>
      <c r="H15" s="119" t="s">
        <v>1649</v>
      </c>
    </row>
    <row r="16" spans="3:8" x14ac:dyDescent="0.25">
      <c r="F16">
        <v>240</v>
      </c>
      <c r="H16" s="119" t="s">
        <v>1650</v>
      </c>
    </row>
    <row r="17" spans="1:12" x14ac:dyDescent="0.25">
      <c r="F17">
        <v>250</v>
      </c>
      <c r="H17" s="119" t="s">
        <v>1651</v>
      </c>
    </row>
    <row r="26" spans="1:12" ht="15.5" x14ac:dyDescent="0.35">
      <c r="A26" s="225"/>
      <c r="B26" s="225"/>
      <c r="C26" s="228" t="s">
        <v>1719</v>
      </c>
      <c r="D26" s="225"/>
      <c r="E26" s="225"/>
      <c r="F26" s="225"/>
      <c r="G26" s="225"/>
      <c r="H26" s="225"/>
      <c r="I26" s="225"/>
      <c r="J26" s="229" t="s">
        <v>1721</v>
      </c>
      <c r="K26" s="231" t="s">
        <v>1661</v>
      </c>
      <c r="L26" s="144" t="s">
        <v>1742</v>
      </c>
    </row>
    <row r="27" spans="1:12" ht="14.5" x14ac:dyDescent="0.35">
      <c r="B27" s="226"/>
      <c r="L27" s="232"/>
    </row>
    <row r="28" spans="1:12" ht="15.5" x14ac:dyDescent="0.35">
      <c r="B28" s="227" t="s">
        <v>1716</v>
      </c>
      <c r="L28" s="232"/>
    </row>
    <row r="29" spans="1:12" ht="14.5" x14ac:dyDescent="0.35">
      <c r="B29" s="226"/>
      <c r="C29" s="220" t="s">
        <v>1717</v>
      </c>
      <c r="D29" s="144" t="s">
        <v>1720</v>
      </c>
      <c r="J29" s="221" t="s">
        <v>1734</v>
      </c>
      <c r="L29" s="233"/>
    </row>
    <row r="30" spans="1:12" ht="14.5" x14ac:dyDescent="0.35">
      <c r="B30" s="226"/>
      <c r="C30" s="220" t="s">
        <v>1718</v>
      </c>
      <c r="D30" s="144" t="s">
        <v>1722</v>
      </c>
      <c r="G30" s="219"/>
      <c r="J30" s="222" t="s">
        <v>1723</v>
      </c>
      <c r="K30" s="230">
        <v>44061</v>
      </c>
      <c r="L30" s="233" t="s">
        <v>1745</v>
      </c>
    </row>
    <row r="31" spans="1:12" ht="14.5" x14ac:dyDescent="0.35">
      <c r="B31" s="226"/>
      <c r="C31" s="220" t="s">
        <v>1724</v>
      </c>
      <c r="D31" s="144" t="s">
        <v>1725</v>
      </c>
      <c r="J31" s="223" t="s">
        <v>1726</v>
      </c>
      <c r="L31" s="232"/>
    </row>
    <row r="32" spans="1:12" ht="14.5" x14ac:dyDescent="0.35">
      <c r="B32" s="226"/>
      <c r="C32" s="220" t="s">
        <v>1727</v>
      </c>
      <c r="D32" s="144" t="s">
        <v>1728</v>
      </c>
      <c r="J32" s="223" t="s">
        <v>1726</v>
      </c>
      <c r="L32" s="232"/>
    </row>
    <row r="33" spans="2:12" ht="14.5" x14ac:dyDescent="0.35">
      <c r="B33" s="226"/>
      <c r="C33" s="220" t="s">
        <v>1729</v>
      </c>
      <c r="D33" s="144" t="s">
        <v>1730</v>
      </c>
      <c r="J33" s="222" t="s">
        <v>1762</v>
      </c>
      <c r="K33" s="230">
        <v>44060</v>
      </c>
      <c r="L33" s="233" t="s">
        <v>1743</v>
      </c>
    </row>
    <row r="34" spans="2:12" x14ac:dyDescent="0.25">
      <c r="C34" s="6"/>
      <c r="L34" s="232"/>
    </row>
    <row r="35" spans="2:12" ht="15.5" x14ac:dyDescent="0.35">
      <c r="B35" s="227" t="s">
        <v>1731</v>
      </c>
      <c r="C35" s="6"/>
      <c r="L35" s="232"/>
    </row>
    <row r="36" spans="2:12" ht="14.5" x14ac:dyDescent="0.35">
      <c r="B36" s="226"/>
      <c r="C36" s="220" t="s">
        <v>1717</v>
      </c>
      <c r="D36" s="144" t="s">
        <v>1752</v>
      </c>
      <c r="J36" s="222" t="s">
        <v>1732</v>
      </c>
      <c r="K36" s="230">
        <v>44060</v>
      </c>
      <c r="L36" s="233" t="s">
        <v>1743</v>
      </c>
    </row>
    <row r="37" spans="2:12" ht="14.5" x14ac:dyDescent="0.35">
      <c r="B37" s="226"/>
      <c r="C37" s="220" t="s">
        <v>1718</v>
      </c>
      <c r="D37" s="144" t="s">
        <v>1753</v>
      </c>
      <c r="J37" s="222" t="s">
        <v>1733</v>
      </c>
      <c r="K37" s="230">
        <v>44060</v>
      </c>
      <c r="L37" s="233" t="s">
        <v>1743</v>
      </c>
    </row>
    <row r="38" spans="2:12" ht="14.5" x14ac:dyDescent="0.35">
      <c r="B38" s="226"/>
      <c r="C38" s="220" t="s">
        <v>1724</v>
      </c>
      <c r="D38" s="144" t="s">
        <v>1754</v>
      </c>
      <c r="J38" s="221" t="s">
        <v>1734</v>
      </c>
      <c r="L38" s="232"/>
    </row>
    <row r="39" spans="2:12" ht="14.5" x14ac:dyDescent="0.35">
      <c r="B39" s="226"/>
      <c r="C39" s="220" t="s">
        <v>1727</v>
      </c>
      <c r="D39" s="144" t="s">
        <v>1755</v>
      </c>
      <c r="J39" s="222" t="s">
        <v>1744</v>
      </c>
      <c r="K39" s="230">
        <v>44060</v>
      </c>
      <c r="L39" s="233" t="s">
        <v>1743</v>
      </c>
    </row>
    <row r="40" spans="2:12" ht="14.5" x14ac:dyDescent="0.35">
      <c r="B40" s="226"/>
      <c r="C40" s="220" t="s">
        <v>1729</v>
      </c>
      <c r="D40" s="144" t="s">
        <v>1756</v>
      </c>
      <c r="J40" s="222" t="s">
        <v>1723</v>
      </c>
      <c r="K40" s="230">
        <v>44060</v>
      </c>
      <c r="L40" s="233" t="s">
        <v>1743</v>
      </c>
    </row>
    <row r="41" spans="2:12" ht="14.5" x14ac:dyDescent="0.35">
      <c r="B41" s="226"/>
      <c r="C41" s="220" t="s">
        <v>1735</v>
      </c>
      <c r="D41" s="144" t="s">
        <v>1757</v>
      </c>
      <c r="J41" s="221" t="s">
        <v>1734</v>
      </c>
      <c r="L41" s="232"/>
    </row>
    <row r="42" spans="2:12" ht="14.5" x14ac:dyDescent="0.35">
      <c r="B42" s="226"/>
      <c r="C42" s="220" t="s">
        <v>1736</v>
      </c>
      <c r="D42" s="144" t="s">
        <v>1758</v>
      </c>
      <c r="J42" s="222" t="s">
        <v>1741</v>
      </c>
      <c r="K42" s="230">
        <v>44060</v>
      </c>
      <c r="L42" s="233" t="s">
        <v>1743</v>
      </c>
    </row>
    <row r="43" spans="2:12" ht="14.5" x14ac:dyDescent="0.35">
      <c r="B43" s="226"/>
      <c r="C43" s="220" t="s">
        <v>1737</v>
      </c>
      <c r="D43" s="144" t="s">
        <v>1759</v>
      </c>
      <c r="J43" s="222" t="s">
        <v>1740</v>
      </c>
      <c r="K43" s="230">
        <v>44060</v>
      </c>
      <c r="L43" s="233" t="s">
        <v>1743</v>
      </c>
    </row>
    <row r="44" spans="2:12" ht="14.5" x14ac:dyDescent="0.35">
      <c r="B44" s="226"/>
      <c r="C44" s="220"/>
      <c r="D44" s="144"/>
      <c r="J44" s="222"/>
      <c r="L44" s="233"/>
    </row>
    <row r="45" spans="2:12" ht="14.5" x14ac:dyDescent="0.35">
      <c r="B45" s="226"/>
      <c r="C45" s="244">
        <v>44063</v>
      </c>
      <c r="D45" s="144"/>
      <c r="L45" s="233"/>
    </row>
    <row r="46" spans="2:12" ht="14.5" x14ac:dyDescent="0.35">
      <c r="B46" s="226"/>
      <c r="C46" s="220"/>
      <c r="D46" s="144" t="s">
        <v>1766</v>
      </c>
      <c r="J46" s="222" t="s">
        <v>1775</v>
      </c>
      <c r="K46" s="230">
        <v>44064</v>
      </c>
      <c r="L46" s="233" t="s">
        <v>1780</v>
      </c>
    </row>
    <row r="47" spans="2:12" ht="14.5" x14ac:dyDescent="0.35">
      <c r="B47" s="226"/>
      <c r="C47" s="220"/>
      <c r="D47" s="144" t="s">
        <v>1767</v>
      </c>
      <c r="J47" s="222" t="s">
        <v>1776</v>
      </c>
      <c r="K47" s="230">
        <v>44064</v>
      </c>
      <c r="L47" s="233" t="s">
        <v>1780</v>
      </c>
    </row>
    <row r="48" spans="2:12" ht="14.5" x14ac:dyDescent="0.35">
      <c r="B48" s="226"/>
      <c r="C48" s="220"/>
      <c r="D48" s="144" t="s">
        <v>1768</v>
      </c>
      <c r="J48" s="222" t="s">
        <v>1775</v>
      </c>
      <c r="K48" s="230">
        <v>44064</v>
      </c>
      <c r="L48" s="233" t="s">
        <v>1780</v>
      </c>
    </row>
    <row r="49" spans="2:12" ht="14.5" x14ac:dyDescent="0.35">
      <c r="B49" s="226"/>
      <c r="C49" s="220"/>
      <c r="D49" s="144" t="s">
        <v>1769</v>
      </c>
      <c r="J49" s="222" t="s">
        <v>1777</v>
      </c>
      <c r="K49" s="230">
        <v>44064</v>
      </c>
      <c r="L49" s="233" t="s">
        <v>1780</v>
      </c>
    </row>
    <row r="50" spans="2:12" ht="14.5" x14ac:dyDescent="0.35">
      <c r="B50" s="226"/>
      <c r="C50" s="220"/>
      <c r="D50" s="144" t="s">
        <v>1770</v>
      </c>
      <c r="J50" s="222" t="s">
        <v>1778</v>
      </c>
      <c r="K50" s="230">
        <v>44064</v>
      </c>
      <c r="L50" s="233" t="s">
        <v>1780</v>
      </c>
    </row>
    <row r="51" spans="2:12" ht="14.5" x14ac:dyDescent="0.35">
      <c r="B51" s="226"/>
      <c r="C51" s="220"/>
      <c r="D51" s="144" t="s">
        <v>1771</v>
      </c>
      <c r="J51" s="222" t="s">
        <v>1779</v>
      </c>
      <c r="K51" s="230">
        <v>44064</v>
      </c>
      <c r="L51" s="233" t="s">
        <v>1780</v>
      </c>
    </row>
    <row r="52" spans="2:12" ht="14.5" x14ac:dyDescent="0.35">
      <c r="B52" s="226"/>
      <c r="C52" s="220"/>
      <c r="D52" s="144" t="s">
        <v>1772</v>
      </c>
      <c r="J52" s="222" t="s">
        <v>1775</v>
      </c>
      <c r="K52" s="230">
        <v>44064</v>
      </c>
      <c r="L52" s="233" t="s">
        <v>1780</v>
      </c>
    </row>
    <row r="53" spans="2:12" ht="14.5" x14ac:dyDescent="0.35">
      <c r="B53" s="226"/>
      <c r="C53" s="220"/>
      <c r="D53" s="144"/>
      <c r="J53" s="144"/>
      <c r="L53" s="233"/>
    </row>
    <row r="54" spans="2:12" ht="14.5" x14ac:dyDescent="0.35">
      <c r="B54" s="226"/>
      <c r="C54" s="244">
        <v>44068</v>
      </c>
      <c r="D54" s="144"/>
      <c r="L54" s="233"/>
    </row>
    <row r="55" spans="2:12" ht="14.5" x14ac:dyDescent="0.35">
      <c r="B55" s="226"/>
      <c r="C55" s="244"/>
      <c r="D55" s="144" t="s">
        <v>1781</v>
      </c>
      <c r="J55" s="222" t="s">
        <v>1800</v>
      </c>
      <c r="K55" s="230">
        <v>44068</v>
      </c>
      <c r="L55" s="233" t="s">
        <v>1782</v>
      </c>
    </row>
    <row r="56" spans="2:12" s="240" customFormat="1" ht="14.5" x14ac:dyDescent="0.35">
      <c r="B56" s="241"/>
      <c r="C56" s="242"/>
      <c r="D56" s="144"/>
      <c r="J56"/>
      <c r="K56" s="230"/>
      <c r="L56" s="243"/>
    </row>
    <row r="57" spans="2:12" ht="14.5" x14ac:dyDescent="0.35">
      <c r="B57" s="226"/>
      <c r="C57" s="220"/>
      <c r="D57" s="144" t="s">
        <v>1773</v>
      </c>
      <c r="L57" s="233"/>
    </row>
    <row r="58" spans="2:12" ht="14.5" x14ac:dyDescent="0.35">
      <c r="B58" s="226"/>
      <c r="C58" s="220"/>
      <c r="D58" s="144" t="s">
        <v>1774</v>
      </c>
      <c r="J58" s="223" t="s">
        <v>1796</v>
      </c>
      <c r="K58" s="223"/>
      <c r="L58" s="223"/>
    </row>
    <row r="59" spans="2:12" ht="14.5" x14ac:dyDescent="0.35">
      <c r="B59" s="226"/>
      <c r="C59" s="220"/>
      <c r="D59" s="144"/>
      <c r="J59" s="144"/>
      <c r="L59" s="233"/>
    </row>
    <row r="60" spans="2:12" ht="14.5" x14ac:dyDescent="0.35">
      <c r="B60" s="226"/>
      <c r="C60" s="244">
        <v>44069</v>
      </c>
      <c r="D60" s="144"/>
      <c r="J60" s="144"/>
      <c r="L60" s="233"/>
    </row>
    <row r="61" spans="2:12" ht="14.5" x14ac:dyDescent="0.35">
      <c r="B61" s="226"/>
      <c r="C61" s="220"/>
      <c r="D61" s="144" t="s">
        <v>1791</v>
      </c>
      <c r="J61" s="222" t="s">
        <v>1798</v>
      </c>
      <c r="K61" s="230">
        <v>44069</v>
      </c>
      <c r="L61" s="233" t="s">
        <v>1801</v>
      </c>
    </row>
    <row r="62" spans="2:12" ht="14.5" x14ac:dyDescent="0.35">
      <c r="B62" s="226"/>
      <c r="C62" s="220"/>
      <c r="D62" s="144" t="s">
        <v>1792</v>
      </c>
      <c r="J62" s="222" t="s">
        <v>1799</v>
      </c>
      <c r="K62" s="230">
        <v>44069</v>
      </c>
      <c r="L62" s="233" t="s">
        <v>1801</v>
      </c>
    </row>
    <row r="63" spans="2:12" ht="14.5" x14ac:dyDescent="0.35">
      <c r="B63" s="226"/>
      <c r="C63" s="220"/>
      <c r="D63" s="144" t="s">
        <v>1802</v>
      </c>
      <c r="J63" s="222" t="s">
        <v>1803</v>
      </c>
      <c r="K63" s="230">
        <v>44069</v>
      </c>
      <c r="L63" s="233" t="s">
        <v>1804</v>
      </c>
    </row>
    <row r="64" spans="2:12" ht="14.5" x14ac:dyDescent="0.35">
      <c r="B64" s="226"/>
      <c r="C64" s="220"/>
      <c r="D64" s="144" t="s">
        <v>1805</v>
      </c>
      <c r="J64" s="222" t="s">
        <v>1806</v>
      </c>
      <c r="K64" s="230">
        <v>44070</v>
      </c>
      <c r="L64" s="233" t="s">
        <v>1807</v>
      </c>
    </row>
    <row r="65" spans="2:12" ht="14.5" x14ac:dyDescent="0.25">
      <c r="C65" s="220"/>
      <c r="D65" s="245"/>
      <c r="L65" s="233"/>
    </row>
    <row r="66" spans="2:12" ht="14.5" x14ac:dyDescent="0.35">
      <c r="B66" s="226" t="s">
        <v>1760</v>
      </c>
      <c r="C66" s="244">
        <v>44063</v>
      </c>
      <c r="D66" s="144"/>
      <c r="L66" s="233"/>
    </row>
    <row r="67" spans="2:12" ht="14.5" x14ac:dyDescent="0.35">
      <c r="B67" s="226"/>
      <c r="C67" s="220"/>
      <c r="D67" s="144" t="s">
        <v>1790</v>
      </c>
      <c r="J67" s="223" t="s">
        <v>1789</v>
      </c>
      <c r="L67" s="233"/>
    </row>
    <row r="68" spans="2:12" ht="14.5" x14ac:dyDescent="0.35">
      <c r="B68" s="226"/>
      <c r="C68" s="220"/>
      <c r="D68" s="144" t="s">
        <v>1809</v>
      </c>
      <c r="J68" s="222" t="s">
        <v>1808</v>
      </c>
      <c r="K68" s="230">
        <v>44070</v>
      </c>
      <c r="L68" s="256" t="s">
        <v>1807</v>
      </c>
    </row>
    <row r="69" spans="2:12" ht="14.5" x14ac:dyDescent="0.35">
      <c r="B69" s="226"/>
      <c r="C69" s="220"/>
      <c r="D69" s="144"/>
      <c r="L69" s="233"/>
    </row>
    <row r="70" spans="2:12" ht="14.5" x14ac:dyDescent="0.35">
      <c r="B70" s="226"/>
      <c r="C70" s="244">
        <v>44068</v>
      </c>
      <c r="D70" s="144"/>
      <c r="L70" s="233"/>
    </row>
    <row r="71" spans="2:12" ht="14.5" x14ac:dyDescent="0.35">
      <c r="B71" s="226"/>
      <c r="C71" s="220"/>
      <c r="D71" s="144" t="s">
        <v>1783</v>
      </c>
      <c r="J71" s="222" t="s">
        <v>1787</v>
      </c>
      <c r="K71" s="230">
        <v>44068</v>
      </c>
      <c r="L71" s="233" t="s">
        <v>1782</v>
      </c>
    </row>
    <row r="72" spans="2:12" ht="14.5" x14ac:dyDescent="0.35">
      <c r="B72" s="226"/>
      <c r="C72" s="220"/>
      <c r="D72" s="144" t="s">
        <v>1785</v>
      </c>
      <c r="J72" s="222" t="s">
        <v>1786</v>
      </c>
      <c r="K72" s="230">
        <v>44068</v>
      </c>
      <c r="L72" s="233" t="s">
        <v>1782</v>
      </c>
    </row>
    <row r="73" spans="2:12" ht="14.5" x14ac:dyDescent="0.35">
      <c r="B73" s="226"/>
      <c r="C73" s="220"/>
      <c r="D73" s="144"/>
      <c r="L73" s="233"/>
    </row>
    <row r="74" spans="2:12" ht="14.5" x14ac:dyDescent="0.35">
      <c r="B74" s="226"/>
      <c r="C74" s="244">
        <v>44069</v>
      </c>
      <c r="D74" s="144"/>
      <c r="L74" s="233"/>
    </row>
    <row r="75" spans="2:12" ht="14.5" x14ac:dyDescent="0.35">
      <c r="B75" s="226"/>
      <c r="C75" s="220"/>
      <c r="D75" s="144" t="s">
        <v>1795</v>
      </c>
      <c r="J75" s="223" t="s">
        <v>1796</v>
      </c>
      <c r="L75" s="233" t="s">
        <v>1797</v>
      </c>
    </row>
    <row r="76" spans="2:12" ht="14.5" x14ac:dyDescent="0.35">
      <c r="B76" s="226"/>
      <c r="C76" s="220"/>
      <c r="D76" s="144"/>
      <c r="L76" s="233"/>
    </row>
    <row r="77" spans="2:12" ht="14.5" x14ac:dyDescent="0.35">
      <c r="B77" s="226"/>
      <c r="C77" s="244">
        <v>44117</v>
      </c>
    </row>
    <row r="78" spans="2:12" ht="14.5" x14ac:dyDescent="0.35">
      <c r="B78" s="226"/>
      <c r="C78" s="220"/>
      <c r="D78" s="144" t="s">
        <v>1811</v>
      </c>
      <c r="J78" s="223" t="s">
        <v>1796</v>
      </c>
      <c r="L78" s="233" t="s">
        <v>1810</v>
      </c>
    </row>
    <row r="79" spans="2:12" ht="14.5" x14ac:dyDescent="0.35">
      <c r="B79" s="226"/>
      <c r="C79" s="220"/>
      <c r="D79" s="144"/>
      <c r="L79" s="233"/>
    </row>
    <row r="80" spans="2:12" ht="11.5" customHeight="1" x14ac:dyDescent="0.35">
      <c r="B80" s="226"/>
      <c r="C80" s="139">
        <v>44124</v>
      </c>
      <c r="K80"/>
    </row>
    <row r="81" spans="2:12" ht="11.5" customHeight="1" x14ac:dyDescent="0.35">
      <c r="B81" s="226"/>
      <c r="D81" s="144" t="s">
        <v>1828</v>
      </c>
      <c r="J81" s="222" t="s">
        <v>1829</v>
      </c>
      <c r="K81" s="139">
        <v>44124</v>
      </c>
      <c r="L81" s="272" t="s">
        <v>1822</v>
      </c>
    </row>
    <row r="82" spans="2:12" ht="11.5" customHeight="1" x14ac:dyDescent="0.35">
      <c r="B82" s="226"/>
      <c r="K82"/>
    </row>
    <row r="83" spans="2:12" ht="14.5" x14ac:dyDescent="0.35">
      <c r="B83" s="226"/>
      <c r="K83"/>
    </row>
    <row r="84" spans="2:12" ht="14.5" x14ac:dyDescent="0.35">
      <c r="B84" s="226"/>
      <c r="K84"/>
    </row>
    <row r="85" spans="2:12" ht="14.5" x14ac:dyDescent="0.35">
      <c r="B85" s="226"/>
      <c r="C85" s="220" t="s">
        <v>1718</v>
      </c>
      <c r="D85" s="144" t="s">
        <v>1747</v>
      </c>
      <c r="J85" s="222" t="s">
        <v>1738</v>
      </c>
      <c r="K85" s="230">
        <v>44060</v>
      </c>
      <c r="L85" s="233" t="s">
        <v>1743</v>
      </c>
    </row>
    <row r="86" spans="2:12" ht="14.5" x14ac:dyDescent="0.35">
      <c r="B86" s="226"/>
      <c r="C86" s="220" t="s">
        <v>1724</v>
      </c>
      <c r="D86" s="144" t="s">
        <v>1748</v>
      </c>
      <c r="J86" s="222" t="s">
        <v>1739</v>
      </c>
      <c r="K86" s="230">
        <v>44060</v>
      </c>
      <c r="L86" s="233" t="s">
        <v>1743</v>
      </c>
    </row>
    <row r="87" spans="2:12" ht="14.5" x14ac:dyDescent="0.35">
      <c r="B87" s="226"/>
      <c r="C87" s="220" t="s">
        <v>1727</v>
      </c>
      <c r="D87" s="144" t="s">
        <v>1749</v>
      </c>
      <c r="J87" s="222" t="s">
        <v>1746</v>
      </c>
      <c r="K87" s="230">
        <v>44061</v>
      </c>
      <c r="L87" s="233" t="s">
        <v>1745</v>
      </c>
    </row>
    <row r="88" spans="2:12" ht="14.5" x14ac:dyDescent="0.35">
      <c r="B88" s="226"/>
      <c r="C88" s="220" t="s">
        <v>1729</v>
      </c>
      <c r="D88" s="144" t="s">
        <v>1750</v>
      </c>
      <c r="J88" s="222" t="s">
        <v>1763</v>
      </c>
      <c r="K88" s="230">
        <v>44061</v>
      </c>
      <c r="L88" s="233" t="s">
        <v>1745</v>
      </c>
    </row>
    <row r="89" spans="2:12" ht="14.5" x14ac:dyDescent="0.35">
      <c r="B89" s="226"/>
      <c r="C89" s="220" t="s">
        <v>1735</v>
      </c>
      <c r="D89" s="144" t="s">
        <v>1751</v>
      </c>
      <c r="J89" s="222" t="s">
        <v>1761</v>
      </c>
      <c r="K89" s="231">
        <v>44061</v>
      </c>
      <c r="L89" s="233" t="s">
        <v>1745</v>
      </c>
    </row>
    <row r="90" spans="2:12" ht="14.5" x14ac:dyDescent="0.35">
      <c r="B90" s="226"/>
      <c r="C90" s="6"/>
      <c r="L90" s="232"/>
    </row>
    <row r="91" spans="2:12" ht="14.5" x14ac:dyDescent="0.35">
      <c r="B91" s="226"/>
      <c r="C91" s="220"/>
      <c r="D91" s="144"/>
      <c r="L91" s="232"/>
    </row>
    <row r="92" spans="2:12" ht="14.5" x14ac:dyDescent="0.35">
      <c r="B92" s="226"/>
      <c r="C92" s="220"/>
      <c r="D92" s="144" t="s">
        <v>1764</v>
      </c>
      <c r="J92" s="223" t="s">
        <v>1765</v>
      </c>
      <c r="L92" s="232"/>
    </row>
    <row r="93" spans="2:12" ht="14.5" x14ac:dyDescent="0.35">
      <c r="B93" s="226"/>
      <c r="C93" s="244">
        <v>44068</v>
      </c>
      <c r="L93" s="232"/>
    </row>
    <row r="94" spans="2:12" ht="14.5" x14ac:dyDescent="0.35">
      <c r="B94" s="226"/>
      <c r="C94" s="6"/>
      <c r="D94" s="144" t="s">
        <v>1788</v>
      </c>
      <c r="J94" s="222" t="s">
        <v>1787</v>
      </c>
      <c r="K94" s="230">
        <v>44068</v>
      </c>
      <c r="L94" s="233" t="s">
        <v>1782</v>
      </c>
    </row>
    <row r="95" spans="2:12" ht="14.5" x14ac:dyDescent="0.35">
      <c r="B95" s="226"/>
      <c r="C95" s="6"/>
      <c r="L95" s="232"/>
    </row>
    <row r="96" spans="2:12" ht="14.5" x14ac:dyDescent="0.35">
      <c r="B96" s="226"/>
      <c r="C96" s="244">
        <v>44117</v>
      </c>
    </row>
    <row r="97" spans="1:12" ht="14.5" x14ac:dyDescent="0.35">
      <c r="B97" s="226"/>
      <c r="C97" s="220"/>
      <c r="D97" s="144" t="s">
        <v>1811</v>
      </c>
      <c r="J97" s="223" t="s">
        <v>1796</v>
      </c>
      <c r="L97" s="233" t="s">
        <v>1810</v>
      </c>
    </row>
    <row r="98" spans="1:12" ht="14.5" x14ac:dyDescent="0.35">
      <c r="B98" s="226"/>
      <c r="C98" s="6"/>
      <c r="L98" s="232"/>
    </row>
    <row r="99" spans="1:12" ht="14.5" x14ac:dyDescent="0.35">
      <c r="B99" s="226"/>
      <c r="C99" s="271">
        <v>44125</v>
      </c>
    </row>
    <row r="100" spans="1:12" ht="14.5" x14ac:dyDescent="0.35">
      <c r="B100" s="226"/>
      <c r="C100" s="6"/>
      <c r="D100" s="144" t="s">
        <v>1830</v>
      </c>
      <c r="J100" s="222" t="s">
        <v>1831</v>
      </c>
      <c r="K100" s="230">
        <v>44125</v>
      </c>
      <c r="L100" s="233" t="s">
        <v>1822</v>
      </c>
    </row>
    <row r="101" spans="1:12" x14ac:dyDescent="0.25">
      <c r="C101" s="6"/>
      <c r="L101" s="232"/>
    </row>
    <row r="102" spans="1:12" x14ac:dyDescent="0.25">
      <c r="C102" s="6"/>
      <c r="L102" s="232"/>
    </row>
    <row r="103" spans="1:12" ht="14.5" x14ac:dyDescent="0.35">
      <c r="A103" s="225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</row>
    <row r="104" spans="1:12" x14ac:dyDescent="0.25">
      <c r="C104" s="6"/>
      <c r="L104" s="232"/>
    </row>
    <row r="105" spans="1:12" x14ac:dyDescent="0.25">
      <c r="C105" s="6"/>
      <c r="L105" s="232"/>
    </row>
    <row r="106" spans="1:12" x14ac:dyDescent="0.25">
      <c r="C106" s="6"/>
      <c r="L106" s="232"/>
    </row>
    <row r="107" spans="1:12" x14ac:dyDescent="0.25">
      <c r="C107" s="6"/>
      <c r="L107" s="232"/>
    </row>
    <row r="108" spans="1:12" ht="14.5" x14ac:dyDescent="0.35">
      <c r="B108" s="226" t="s">
        <v>1820</v>
      </c>
      <c r="C108" s="6"/>
      <c r="L108" s="232"/>
    </row>
    <row r="109" spans="1:12" ht="14.5" x14ac:dyDescent="0.35">
      <c r="B109" s="226"/>
      <c r="C109" s="271">
        <v>44123</v>
      </c>
      <c r="J109" s="222" t="s">
        <v>1821</v>
      </c>
      <c r="K109" s="230">
        <v>44124</v>
      </c>
      <c r="L109" s="233" t="s">
        <v>1822</v>
      </c>
    </row>
    <row r="110" spans="1:12" ht="14.5" x14ac:dyDescent="0.35">
      <c r="B110" s="226"/>
      <c r="C110" s="6"/>
      <c r="D110" s="219" t="s">
        <v>1823</v>
      </c>
      <c r="J110" s="223" t="s">
        <v>1765</v>
      </c>
      <c r="L110" s="233"/>
    </row>
    <row r="111" spans="1:12" ht="14.5" x14ac:dyDescent="0.35">
      <c r="B111" s="226"/>
      <c r="C111" s="6"/>
      <c r="D111" s="219" t="s">
        <v>1824</v>
      </c>
      <c r="L111" s="232"/>
    </row>
    <row r="112" spans="1:12" ht="14.5" x14ac:dyDescent="0.35">
      <c r="B112" s="226"/>
      <c r="C112" s="6"/>
      <c r="D112" s="219" t="s">
        <v>1825</v>
      </c>
      <c r="L112" s="232"/>
    </row>
    <row r="113" spans="2:12" ht="14.5" x14ac:dyDescent="0.35">
      <c r="B113" s="226"/>
      <c r="C113" s="6"/>
      <c r="D113" s="219" t="s">
        <v>1826</v>
      </c>
      <c r="J113" s="222" t="s">
        <v>1827</v>
      </c>
      <c r="K113" s="230">
        <v>44124</v>
      </c>
      <c r="L113" s="233" t="s">
        <v>1822</v>
      </c>
    </row>
    <row r="114" spans="2:12" ht="14.5" x14ac:dyDescent="0.35">
      <c r="B114" s="226"/>
      <c r="C114" s="6"/>
      <c r="L114" s="232"/>
    </row>
    <row r="115" spans="2:12" ht="14.5" x14ac:dyDescent="0.35">
      <c r="B115" s="226"/>
      <c r="C115" s="6"/>
      <c r="L115" s="232"/>
    </row>
    <row r="116" spans="2:12" ht="14.5" x14ac:dyDescent="0.35">
      <c r="B116" s="226"/>
      <c r="C116" s="6"/>
      <c r="L116" s="232"/>
    </row>
    <row r="117" spans="2:12" x14ac:dyDescent="0.25">
      <c r="C117" s="6"/>
    </row>
    <row r="118" spans="2:12" x14ac:dyDescent="0.25">
      <c r="C118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2020-10-23T11:59:46Z</dcterms:modified>
</cp:coreProperties>
</file>